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itsupport/Desktop/Work/Multifleet/"/>
    </mc:Choice>
  </mc:AlternateContent>
  <xr:revisionPtr revIDLastSave="0" documentId="13_ncr:1_{34D65094-4A40-8744-8EE7-B2A16EF32821}" xr6:coauthVersionLast="47" xr6:coauthVersionMax="47" xr10:uidLastSave="{00000000-0000-0000-0000-000000000000}"/>
  <bookViews>
    <workbookView xWindow="0" yWindow="600" windowWidth="51200" windowHeight="26100" activeTab="1" xr2:uid="{00000000-000D-0000-FFFF-FFFF00000000}"/>
  </bookViews>
  <sheets>
    <sheet name="READ ME FIRST" sheetId="1" r:id="rId1"/>
    <sheet name="1. Vehicles" sheetId="2" r:id="rId2"/>
    <sheet name="2. Employees" sheetId="3" r:id="rId3"/>
    <sheet name="3. Vehicle Documents" sheetId="4" r:id="rId4"/>
    <sheet name="4. Assignments" sheetId="5" r:id="rId5"/>
    <sheet name="5. Fines" sheetId="6" r:id="rId6"/>
    <sheet name="6. Maintenance" sheetId="7" r:id="rId7"/>
    <sheet name="7. Scheduled Services" sheetId="8" r:id="rId8"/>
    <sheet name="8. Tyres" sheetId="9" r:id="rId9"/>
    <sheet name="9. Garages" sheetId="10" r:id="rId10"/>
    <sheet name="10. Fuel Stations" sheetId="11" r:id="rId11"/>
    <sheet name="11. Master Lists (Ref)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8" i="5"/>
  <c r="C9" i="5"/>
  <c r="C10" i="5"/>
  <c r="C11" i="5"/>
  <c r="C12" i="5"/>
  <c r="C13" i="5"/>
  <c r="C14" i="5"/>
  <c r="C15" i="5"/>
  <c r="C16" i="5"/>
  <c r="C17" i="5"/>
  <c r="C18" i="5"/>
  <c r="C6" i="5"/>
</calcChain>
</file>

<file path=xl/sharedStrings.xml><?xml version="1.0" encoding="utf-8"?>
<sst xmlns="http://schemas.openxmlformats.org/spreadsheetml/2006/main" count="535" uniqueCount="441">
  <si>
    <t>Fleet Data Collection Template</t>
  </si>
  <si>
    <t>HOW TO USE THIS FILE</t>
  </si>
  <si>
    <t>This file has one sheet per data type. Please fill in each sheet as completely as possible.</t>
  </si>
  <si>
    <t>STEP 1 – READ ME FIRST (this sheet)</t>
  </si>
  <si>
    <t xml:space="preserve">  Read all notes before starting.</t>
  </si>
  <si>
    <t>STEP 2 – SHEET  »  11. Master Lists (Ref)</t>
  </si>
  <si>
    <t xml:space="preserve">  Review the master lists tab. Use ONLY these exact values for fields like Vehicle Type, Status, Condition, etc.</t>
  </si>
  <si>
    <t>STEP 3 – START WITH  »  1. Vehicles</t>
  </si>
  <si>
    <t xml:space="preserve">  Fill one row per vehicle. The Vehicle No column is critical — it links all other sheets.</t>
  </si>
  <si>
    <t>STEP 4 – Fill  »  2. Employees / Drivers</t>
  </si>
  <si>
    <t xml:space="preserve">  List all drivers and staff. Employee No links to Assignments and Fines.</t>
  </si>
  <si>
    <t>STEP 5 – Fill remaining sheets in order</t>
  </si>
  <si>
    <t xml:space="preserve">  Documents → Assignments → Fines → Maintenance → Scheduled Services → Tyres → Garages → Fuel Stations</t>
  </si>
  <si>
    <t>IMPORTANT RULES</t>
  </si>
  <si>
    <t xml:space="preserve">  ★  Do NOT rename any sheet tabs or column headers.</t>
  </si>
  <si>
    <t xml:space="preserve">  ★  Dates must be in  YYYY-MM-DD  format  (e.g. 2025-06-30).</t>
  </si>
  <si>
    <t xml:space="preserve">  ★  Numbers must be plain digits — no commas, no currency symbols (e.g. 1250.00 not AED 1,250).</t>
  </si>
  <si>
    <t xml:space="preserve">  ★  Red header = required field.  Green header = optional but helpful.</t>
  </si>
  <si>
    <t xml:space="preserve">  ★  You may add as many rows as needed — just don't delete the header row.</t>
  </si>
  <si>
    <t xml:space="preserve">  ★  Leave a field blank if you don't have that information.</t>
  </si>
  <si>
    <t>SHEETS IN THIS FILE</t>
  </si>
  <si>
    <t xml:space="preserve">  1. Vehicles              — Core fleet inventory</t>
  </si>
  <si>
    <t xml:space="preserve">  2. Employees             — Drivers and staff</t>
  </si>
  <si>
    <t xml:space="preserve">  3. Vehicle Documents     — Registration, insurance, permits</t>
  </si>
  <si>
    <t xml:space="preserve">  4. Assignments           — Who has / had which vehicle</t>
  </si>
  <si>
    <t xml:space="preserve">  5. Fines                 — All traffic violations</t>
  </si>
  <si>
    <t xml:space="preserve">  6. Maintenance           — Service history and costs</t>
  </si>
  <si>
    <t xml:space="preserve">  7. Scheduled Services    — Upcoming planned maintenance</t>
  </si>
  <si>
    <t xml:space="preserve">  8. Tyres                 — Tyre inventory per vehicle</t>
  </si>
  <si>
    <t xml:space="preserve">  9. Garages               — Approved workshops</t>
  </si>
  <si>
    <t xml:space="preserve">  10. Fuel Stations        — Fuel card / station accounts</t>
  </si>
  <si>
    <t xml:space="preserve">  11. Master Lists (Ref)   — Valid values for dropdown fields</t>
  </si>
  <si>
    <t xml:space="preserve">  1. Vehicles  —  Data Collection Template</t>
  </si>
  <si>
    <t>⚠  Fill in the WHITE rows below. RED headers = required field.  GREEN headers = optional.  Do NOT change column headers or sheet names.</t>
  </si>
  <si>
    <t xml:space="preserve">  •  One row per vehicle.
  •  Vehicle No must be unique — it is the primary key used across ALL other sheets.
  •  Vehicle Type must match one of the options in the master list (exact spelling).
  •  Condition: Good / Fair / Poor.
  •  Odometer values in kilometres (numbers only, no commas or units).</t>
  </si>
  <si>
    <t>e.g. DXB-10011</t>
  </si>
  <si>
    <t>e.g. Toyota Hilux Pickup</t>
  </si>
  <si>
    <t>e.g. Toyota</t>
  </si>
  <si>
    <t>e.g. Hilux</t>
  </si>
  <si>
    <t>e.g. 2022</t>
  </si>
  <si>
    <t>e.g. JTFHX22P100XXXXX</t>
  </si>
  <si>
    <t>e.g. TRF-2022-001</t>
  </si>
  <si>
    <t>e.g. Pickup / Sedan / Bus / Truck</t>
  </si>
  <si>
    <t>e.g. Active / Inactive / Maintenance</t>
  </si>
  <si>
    <t>e.g. Good / Fair / Poor</t>
  </si>
  <si>
    <t>e.g. Dubai</t>
  </si>
  <si>
    <t>e.g. ADNOC - Al Quoz</t>
  </si>
  <si>
    <t>e.g. 15000</t>
  </si>
  <si>
    <t>e.g. 42000</t>
  </si>
  <si>
    <t>e.g. Company vehicle since 2022</t>
  </si>
  <si>
    <t>Vehicle No *</t>
  </si>
  <si>
    <t>Brand *</t>
  </si>
  <si>
    <t>Model *</t>
  </si>
  <si>
    <t>Year *</t>
  </si>
  <si>
    <t>Vehicle Type *</t>
  </si>
  <si>
    <t>Status *</t>
  </si>
  <si>
    <t>Condition *</t>
  </si>
  <si>
    <t>Fuel Station</t>
  </si>
  <si>
    <t>Initial Odometer (km)</t>
  </si>
  <si>
    <t>Current Odometer (km)</t>
  </si>
  <si>
    <t>Remarks</t>
  </si>
  <si>
    <t xml:space="preserve">  2. Employees  —  Data Collection Template</t>
  </si>
  <si>
    <t xml:space="preserve">  •  One row per employee / driver.
  •  Employee No must be unique — used in Assignment and Fines sheets.
  •  Date format: YYYY-MM-DD  (e.g. 2025-06-30).</t>
  </si>
  <si>
    <t>e.g. EMP-001</t>
  </si>
  <si>
    <t>e.g. Mohammed Al Rashid</t>
  </si>
  <si>
    <t>e.g. Driver / Supervisor / Manager</t>
  </si>
  <si>
    <t>e.g. Logistics</t>
  </si>
  <si>
    <t>e.g. +971 50 123 4567</t>
  </si>
  <si>
    <t>e.g. m.rashid@company.com</t>
  </si>
  <si>
    <t>e.g. DXB-LIC-2019-XXXXX</t>
  </si>
  <si>
    <t>e.g. 2026-12-31</t>
  </si>
  <si>
    <t>e.g. UAE</t>
  </si>
  <si>
    <t>e.g. Senior driver, 8 years experience</t>
  </si>
  <si>
    <t>Employee No *</t>
  </si>
  <si>
    <t>Full Name *</t>
  </si>
  <si>
    <t>Designation</t>
  </si>
  <si>
    <t>Department</t>
  </si>
  <si>
    <t>Phone</t>
  </si>
  <si>
    <t>Email</t>
  </si>
  <si>
    <t>License No</t>
  </si>
  <si>
    <t>License Expiry</t>
  </si>
  <si>
    <t>Nationality</t>
  </si>
  <si>
    <t xml:space="preserve">  3. Vehicle Documents  —  Data Collection Template</t>
  </si>
  <si>
    <t xml:space="preserve">  •  One row per document. A vehicle can have multiple rows (one per doc type).
  •  Document Type: Registration, Insurance, Mulkiya, Istimara, Road Permit, etc.
  •  Dates in YYYY-MM-DD format.
  •  Renewal Amount: numeric only (e.g. 1200.50 — no currency symbol).</t>
  </si>
  <si>
    <t>e.g. Registration / Insurance / Mulkiya / Istimara</t>
  </si>
  <si>
    <t>e.g. REG-2024-XXXXX</t>
  </si>
  <si>
    <t>e.g. 2024-01-15</t>
  </si>
  <si>
    <t>e.g. 2025-01-14</t>
  </si>
  <si>
    <t>e.g. RTA Dubai</t>
  </si>
  <si>
    <t>e.g. 1200.00</t>
  </si>
  <si>
    <t>e.g. Valid / Expired / Expiring Soon</t>
  </si>
  <si>
    <t>e.g. Original kept with vehicle</t>
  </si>
  <si>
    <t>Document Type *</t>
  </si>
  <si>
    <t>Document No</t>
  </si>
  <si>
    <t>Issue Date</t>
  </si>
  <si>
    <t>Expiry Date *</t>
  </si>
  <si>
    <t>Issuing Authority</t>
  </si>
  <si>
    <t>City / Emirate</t>
  </si>
  <si>
    <t>Renewal Amount</t>
  </si>
  <si>
    <t>Status</t>
  </si>
  <si>
    <t xml:space="preserve">  4. Assignments  —  Data Collection Template</t>
  </si>
  <si>
    <t xml:space="preserve">  •  List ALL assignment history — past and current.
  •  If the vehicle is currently assigned, leave Return Date and Return Odometer blank.
  •  Status: Active (currently assigned), Returned, Transferred.
  •  Dates in YYYY-MM-DD format.
  •  Employee No must match an entry in the Employees sheet.</t>
  </si>
  <si>
    <t>e.g. Driver</t>
  </si>
  <si>
    <t>e.g. 2024-03-01</t>
  </si>
  <si>
    <t>e.g. 2024-09-30  (blank if still assigned)</t>
  </si>
  <si>
    <t>e.g. Active / Returned / Transferred</t>
  </si>
  <si>
    <t>e.g. 58000  (blank if still assigned)</t>
  </si>
  <si>
    <t>e.g. Assigned for project logistics</t>
  </si>
  <si>
    <t>Employee Name</t>
  </si>
  <si>
    <t>Assigned Date *</t>
  </si>
  <si>
    <t>Return Date</t>
  </si>
  <si>
    <t>Handover Odometer</t>
  </si>
  <si>
    <t>Return Odometer</t>
  </si>
  <si>
    <t xml:space="preserve">  5. Fines  —  Data Collection Template</t>
  </si>
  <si>
    <t xml:space="preserve">  •  One row per fine / traffic violation.
  •  Amount: numeric only, in AED (e.g. 600.00).
  •  Dates in YYYY-MM-DD format.
  •  Employee No is optional — fill if known (driver at time of incident).
  •  Status: Paid, Unpaid, or Disputed.</t>
  </si>
  <si>
    <t>e.g. TKT-001234</t>
  </si>
  <si>
    <t>e.g. 2024-06-15</t>
  </si>
  <si>
    <t>e.g. Speeding / Illegal Parking / Mobile Use</t>
  </si>
  <si>
    <t>e.g. 600.00</t>
  </si>
  <si>
    <t>e.g. Sheikh Zayed Road, Dubai</t>
  </si>
  <si>
    <t>e.g. Dubai / Abu Dhabi / Sharjah</t>
  </si>
  <si>
    <t>e.g. Dubai Police / RTA / MOI</t>
  </si>
  <si>
    <t>e.g. EMP-001  (driver at time of fine)</t>
  </si>
  <si>
    <t>e.g. Exceeded 120 km/h limit</t>
  </si>
  <si>
    <t>e.g. Paid / Unpaid / Disputed</t>
  </si>
  <si>
    <t>e.g. 2024-07-01</t>
  </si>
  <si>
    <t>e.g. Paid via online portal</t>
  </si>
  <si>
    <t>Ticket / Fine No *</t>
  </si>
  <si>
    <t>Fine Date *</t>
  </si>
  <si>
    <t>Fine Type / Offence *</t>
  </si>
  <si>
    <t>Amount (AED) *</t>
  </si>
  <si>
    <t>Location</t>
  </si>
  <si>
    <t>Emirate *</t>
  </si>
  <si>
    <t>Employee No</t>
  </si>
  <si>
    <t>Reason / Details</t>
  </si>
  <si>
    <t>Payment Date</t>
  </si>
  <si>
    <t xml:space="preserve">  6. Maintenance  —  Data Collection Template</t>
  </si>
  <si>
    <t xml:space="preserve">  •  One row per maintenance visit / service event.
  •  Cost in AED — numeric only (e.g. 1250.00).
  •  Maintenance Type: Oil Change, Brake Repair, Tyre Rotation, AC Service, Body Work, General Service, etc.
  •  Dates in YYYY-MM-DD format.
  •  Odometer values in kilometres.</t>
  </si>
  <si>
    <t>e.g. 2024-04-10</t>
  </si>
  <si>
    <t>e.g. Oil Change / Brake Repair / AC Service</t>
  </si>
  <si>
    <t>e.g. Al Futtaim Auto Centre</t>
  </si>
  <si>
    <t>e.g. INV-2024-0045</t>
  </si>
  <si>
    <t>e.g. 850.00</t>
  </si>
  <si>
    <t>e.g. 48500</t>
  </si>
  <si>
    <t>e.g. 2025-04-10</t>
  </si>
  <si>
    <t>e.g. 58500</t>
  </si>
  <si>
    <t>e.g. Oil filter, Air filter</t>
  </si>
  <si>
    <t>e.g. Completed / In Progress / Scheduled</t>
  </si>
  <si>
    <t>e.g. Full service including wheel alignment</t>
  </si>
  <si>
    <t>Service Date *</t>
  </si>
  <si>
    <t>Maintenance Type *</t>
  </si>
  <si>
    <t>Garage / Workshop *</t>
  </si>
  <si>
    <t>Invoice No</t>
  </si>
  <si>
    <t>Cost (AED) *</t>
  </si>
  <si>
    <t>Odometer at Service</t>
  </si>
  <si>
    <t>Next Service Date</t>
  </si>
  <si>
    <t>Next Service Odometer</t>
  </si>
  <si>
    <t>Parts Replaced</t>
  </si>
  <si>
    <t xml:space="preserve">  7. Scheduled Services  —  Data Collection Template</t>
  </si>
  <si>
    <t xml:space="preserve">  •  List all PLANNED future services and recurring maintenance schedules.
  •  Priority: High (safety-critical), Medium (regular), Low (cosmetic).
  •  Recurring: Yes if it repeats at a fixed interval (e.g. every 6 months / 10,000 km).
  •  Dates in YYYY-MM-DD format. Costs in AED.</t>
  </si>
  <si>
    <t>e.g. Oil Change / General Service / Tyre Check</t>
  </si>
  <si>
    <t>e.g. 2025-07-01</t>
  </si>
  <si>
    <t>e.g. 60000</t>
  </si>
  <si>
    <t>e.g. High / Medium / Low</t>
  </si>
  <si>
    <t>e.g. 950.00</t>
  </si>
  <si>
    <t>e.g. 60,000 km full service</t>
  </si>
  <si>
    <t>e.g. Yes / No</t>
  </si>
  <si>
    <t>e.g. 180</t>
  </si>
  <si>
    <t>e.g. 10000</t>
  </si>
  <si>
    <t>e.g. 2025-06-21</t>
  </si>
  <si>
    <t>e.g. Pending / Confirmed / Cancelled</t>
  </si>
  <si>
    <t>Service Type *</t>
  </si>
  <si>
    <t>Scheduled Date *</t>
  </si>
  <si>
    <t>Scheduled at KM</t>
  </si>
  <si>
    <t>Priority</t>
  </si>
  <si>
    <t>Garage / Workshop</t>
  </si>
  <si>
    <t>Estimated Cost (AED)</t>
  </si>
  <si>
    <t>Description / Notes</t>
  </si>
  <si>
    <t>Recurring?</t>
  </si>
  <si>
    <t>Recur Every (days)</t>
  </si>
  <si>
    <t>Recur Every (km)</t>
  </si>
  <si>
    <t>Reminder Date</t>
  </si>
  <si>
    <t xml:space="preserve">  8. Tyres  —  Data Collection Template</t>
  </si>
  <si>
    <t xml:space="preserve">  •  One row per tyre per vehicle (typically 4–5 rows per vehicle including spare).
  •  Position: Front Left, Front Right, Rear Left, Rear Right, Rear Left Inner, Rear Right Inner, Spare.
  •  Size format: 265/65R17 (check tyre sidewall).
  •  Dates in YYYY-MM-DD format. Purchase cost in AED.</t>
  </si>
  <si>
    <t>e.g. Front Left / Front Right / Rear Left / Rear Right / Spare</t>
  </si>
  <si>
    <t>e.g. Michelin / Bridgestone / Goodyear</t>
  </si>
  <si>
    <t>e.g. 265/65R17</t>
  </si>
  <si>
    <t>e.g. 2023-08-01</t>
  </si>
  <si>
    <t>e.g. 2026-08-01</t>
  </si>
  <si>
    <t>e.g. 18000</t>
  </si>
  <si>
    <t>e.g. Active / Worn / Replaced / Spare</t>
  </si>
  <si>
    <t>e.g. 450.00</t>
  </si>
  <si>
    <t>e.g. New tyres after puncture</t>
  </si>
  <si>
    <t>Position *</t>
  </si>
  <si>
    <t>Brand</t>
  </si>
  <si>
    <t>Size</t>
  </si>
  <si>
    <t>Install Date</t>
  </si>
  <si>
    <t>Expiry Date</t>
  </si>
  <si>
    <t>KM Used</t>
  </si>
  <si>
    <t>Purchase Cost</t>
  </si>
  <si>
    <t xml:space="preserve">  9. Garages  —  Data Collection Template</t>
  </si>
  <si>
    <t xml:space="preserve">  •  List all garages / workshops used for vehicle maintenance.
  •  This list will be used in the Maintenance and Scheduled Services sheets.</t>
  </si>
  <si>
    <t>e.g. Al Quoz Industrial Area, Dubai</t>
  </si>
  <si>
    <t>e.g. Khalid Hassan</t>
  </si>
  <si>
    <t>e.g. +971 4 123 4567</t>
  </si>
  <si>
    <t>e.g. service@alfuttaim.ae</t>
  </si>
  <si>
    <t>e.g. General / Tyres / AC / Body Work</t>
  </si>
  <si>
    <t>e.g. Approved vendor since 2020</t>
  </si>
  <si>
    <t>Garage / Workshop Name *</t>
  </si>
  <si>
    <t>Location / Address</t>
  </si>
  <si>
    <t>Emirate</t>
  </si>
  <si>
    <t>Contact Person</t>
  </si>
  <si>
    <t>Specialisation</t>
  </si>
  <si>
    <t>Preferred?</t>
  </si>
  <si>
    <t xml:space="preserve">  10. Fuel Stations  —  Data Collection Template</t>
  </si>
  <si>
    <t xml:space="preserve">  •  List all fuel stations used by the fleet.
  •  If using a fuel card system, note the account/card number.</t>
  </si>
  <si>
    <t>e.g. ADNOC / ENOC / EPPCO / Shell</t>
  </si>
  <si>
    <t>e.g. Al Quoz, Dubai</t>
  </si>
  <si>
    <t>e.g. ADNOC-ACC-12345</t>
  </si>
  <si>
    <t>e.g. Primary fuel station for fleet</t>
  </si>
  <si>
    <t>Fuel Station Name *</t>
  </si>
  <si>
    <t>Operator</t>
  </si>
  <si>
    <t>Account / Card No</t>
  </si>
  <si>
    <t xml:space="preserve">  MASTER REFERENCE LISTS  —  Do not edit these values; they are used by the system</t>
  </si>
  <si>
    <t>Vehicle Types</t>
  </si>
  <si>
    <t>Vehicle Status</t>
  </si>
  <si>
    <t>Condition</t>
  </si>
  <si>
    <t>Document Types</t>
  </si>
  <si>
    <t>Fine Types</t>
  </si>
  <si>
    <t>Fine Status</t>
  </si>
  <si>
    <t>Maintenance Types</t>
  </si>
  <si>
    <t>Assignment Status</t>
  </si>
  <si>
    <t>Tyre Position</t>
  </si>
  <si>
    <t>Tyre Status</t>
  </si>
  <si>
    <t>Active</t>
  </si>
  <si>
    <t>Excellent</t>
  </si>
  <si>
    <t>Speeding</t>
  </si>
  <si>
    <t>Unpaid</t>
  </si>
  <si>
    <t>Oil Change</t>
  </si>
  <si>
    <t>High</t>
  </si>
  <si>
    <t>Abu Dhabi</t>
  </si>
  <si>
    <t>Inactive</t>
  </si>
  <si>
    <t>Good</t>
  </si>
  <si>
    <t>Paid</t>
  </si>
  <si>
    <t>Returned</t>
  </si>
  <si>
    <t>Medium</t>
  </si>
  <si>
    <t>Worn</t>
  </si>
  <si>
    <t>Dubai</t>
  </si>
  <si>
    <t>Fair</t>
  </si>
  <si>
    <t>Illegal Parking</t>
  </si>
  <si>
    <t>Disputed</t>
  </si>
  <si>
    <t>Low</t>
  </si>
  <si>
    <t>Replaced</t>
  </si>
  <si>
    <t>Sharjah</t>
  </si>
  <si>
    <t>Van</t>
  </si>
  <si>
    <t>Brake Pad Replacement</t>
  </si>
  <si>
    <t>Spare</t>
  </si>
  <si>
    <t>Ajman</t>
  </si>
  <si>
    <t>Sold</t>
  </si>
  <si>
    <t>Damaged</t>
  </si>
  <si>
    <t>Umm Al Quwain</t>
  </si>
  <si>
    <t>Bus</t>
  </si>
  <si>
    <t>Tyre Replacement</t>
  </si>
  <si>
    <t>Ras Al Khaimah</t>
  </si>
  <si>
    <t>Fujairah</t>
  </si>
  <si>
    <t>Expired Registration</t>
  </si>
  <si>
    <t>AC Repair</t>
  </si>
  <si>
    <t>Al Ain</t>
  </si>
  <si>
    <t>Battery Replacement</t>
  </si>
  <si>
    <t>Khor Fakkan</t>
  </si>
  <si>
    <t>Reckless Driving</t>
  </si>
  <si>
    <t>Wheel Alignment</t>
  </si>
  <si>
    <t>Kalba</t>
  </si>
  <si>
    <t>Suspension Repair</t>
  </si>
  <si>
    <t>Annual Service</t>
  </si>
  <si>
    <t>amjadh</t>
  </si>
  <si>
    <t>suraj</t>
  </si>
  <si>
    <t>Maintainance Status</t>
  </si>
  <si>
    <t>Completed</t>
  </si>
  <si>
    <t>In Progress</t>
  </si>
  <si>
    <t>Scheduled</t>
  </si>
  <si>
    <t>e.g. AA-1254</t>
  </si>
  <si>
    <t>Abu Dhabi 1</t>
  </si>
  <si>
    <t>Doha</t>
  </si>
  <si>
    <t>Al Wakrah</t>
  </si>
  <si>
    <t>Al Khor</t>
  </si>
  <si>
    <t>Umm Salal</t>
  </si>
  <si>
    <t>Al Rayyan</t>
  </si>
  <si>
    <t>Mesaieed</t>
  </si>
  <si>
    <t>Lusail</t>
  </si>
  <si>
    <t>Muscat</t>
  </si>
  <si>
    <t>Salalah</t>
  </si>
  <si>
    <t>Sohar</t>
  </si>
  <si>
    <t>Nizwa</t>
  </si>
  <si>
    <t>Sur</t>
  </si>
  <si>
    <t>Ibri</t>
  </si>
  <si>
    <t>Barka</t>
  </si>
  <si>
    <t>Manama</t>
  </si>
  <si>
    <t>Muharraq</t>
  </si>
  <si>
    <t>Riffa</t>
  </si>
  <si>
    <t>Hamad Town</t>
  </si>
  <si>
    <t>Isa Town</t>
  </si>
  <si>
    <t>Sitra</t>
  </si>
  <si>
    <t>Budaiya</t>
  </si>
  <si>
    <t>Cities</t>
  </si>
  <si>
    <t>Emirates</t>
  </si>
  <si>
    <t>Description *</t>
  </si>
  <si>
    <t>Chassis No *</t>
  </si>
  <si>
    <t>Traffic File No *</t>
  </si>
  <si>
    <t>City / Location *</t>
  </si>
  <si>
    <t>R-54697</t>
  </si>
  <si>
    <t>E-65796</t>
  </si>
  <si>
    <t>N-93982</t>
  </si>
  <si>
    <t>N-92485</t>
  </si>
  <si>
    <t>U-31658</t>
  </si>
  <si>
    <t>R-49923</t>
  </si>
  <si>
    <t>U-57225</t>
  </si>
  <si>
    <t>Y-39759</t>
  </si>
  <si>
    <t>D-25501</t>
  </si>
  <si>
    <t>U-39168</t>
  </si>
  <si>
    <t>D-39315</t>
  </si>
  <si>
    <t>DD-30975</t>
  </si>
  <si>
    <t>DD-30976</t>
  </si>
  <si>
    <t>15-26510</t>
  </si>
  <si>
    <t>R-51468</t>
  </si>
  <si>
    <t>S-36737</t>
  </si>
  <si>
    <t>20-53184</t>
  </si>
  <si>
    <t>F-34912</t>
  </si>
  <si>
    <t>AUH-82501</t>
  </si>
  <si>
    <t>AUH-79610</t>
  </si>
  <si>
    <t>20-43695</t>
  </si>
  <si>
    <t>V-72174</t>
  </si>
  <si>
    <t>T-72071</t>
  </si>
  <si>
    <t>K-55386</t>
  </si>
  <si>
    <t>W-73769</t>
  </si>
  <si>
    <t>U-37664</t>
  </si>
  <si>
    <t>P-12657</t>
  </si>
  <si>
    <t>O-74257</t>
  </si>
  <si>
    <t>D-22618</t>
  </si>
  <si>
    <t>W-88683</t>
  </si>
  <si>
    <t>AA-76206</t>
  </si>
  <si>
    <t>AA-11908</t>
  </si>
  <si>
    <t>CC-27194</t>
  </si>
  <si>
    <t>J-16972</t>
  </si>
  <si>
    <t>Truck</t>
  </si>
  <si>
    <t>Delivery Van</t>
  </si>
  <si>
    <t>Staff Bus</t>
  </si>
  <si>
    <t>Warehouse Pickup</t>
  </si>
  <si>
    <t>Car</t>
  </si>
  <si>
    <t>Vehicle Insurance</t>
  </si>
  <si>
    <t>Vehicle Registration Card (Mulkiya)</t>
  </si>
  <si>
    <t>Vehicle Registration Renewal</t>
  </si>
  <si>
    <t>RTA Technical Inspection</t>
  </si>
  <si>
    <t>Emission Test Certificate</t>
  </si>
  <si>
    <t>Vehicle Ownership Certificate</t>
  </si>
  <si>
    <t>Number Plate Registration</t>
  </si>
  <si>
    <t>Vehicle Export Certificate</t>
  </si>
  <si>
    <t>Police Accident Report</t>
  </si>
  <si>
    <t>Service &amp; Maintenance Record</t>
  </si>
  <si>
    <t>Signal Jumping</t>
  </si>
  <si>
    <t>Driving Without Seatbelt</t>
  </si>
  <si>
    <t>Using Mobile While Driving</t>
  </si>
  <si>
    <t>Paid Parking Violation</t>
  </si>
  <si>
    <t>Parking in Disabled Spot</t>
  </si>
  <si>
    <t>Blocking Vehicle</t>
  </si>
  <si>
    <t>No Insurance</t>
  </si>
  <si>
    <t>Driving Without License</t>
  </si>
  <si>
    <t>Overloading Truck</t>
  </si>
  <si>
    <t>Exceeding Truck Weight Limit</t>
  </si>
  <si>
    <t>Salik Toll Violation</t>
  </si>
  <si>
    <t>Darb Toll Violation</t>
  </si>
  <si>
    <t>Municipality Fine</t>
  </si>
  <si>
    <t>Noise Pollution Fine</t>
  </si>
  <si>
    <t>Wrong Lane Usage</t>
  </si>
  <si>
    <t>Failure to Maintain Safe Distance</t>
  </si>
  <si>
    <t>ENOC</t>
  </si>
  <si>
    <t>ADNOC</t>
  </si>
  <si>
    <t>Emarat</t>
  </si>
  <si>
    <t>Oil Filter Replacement</t>
  </si>
  <si>
    <t>Air Filter Replacement</t>
  </si>
  <si>
    <t>Fuel Filter Replacement</t>
  </si>
  <si>
    <t>Brake Disc Replacement</t>
  </si>
  <si>
    <t>Brake Fluid Change</t>
  </si>
  <si>
    <t>Clutch Replacement</t>
  </si>
  <si>
    <t>Gearbox Repair</t>
  </si>
  <si>
    <t>Engine Overhaul</t>
  </si>
  <si>
    <t>Radiator Repair</t>
  </si>
  <si>
    <t>Alternator Repair</t>
  </si>
  <si>
    <t>Starter Motor Repair</t>
  </si>
  <si>
    <t>Wheel Balancing</t>
  </si>
  <si>
    <t>Shock Absorber Replacement</t>
  </si>
  <si>
    <t>Electrical Wiring Repair</t>
  </si>
  <si>
    <t>Turbocharger Repair</t>
  </si>
  <si>
    <t>DPF Cleaning</t>
  </si>
  <si>
    <t>Body Repair</t>
  </si>
  <si>
    <t>Accident Repair</t>
  </si>
  <si>
    <t>Painting</t>
  </si>
  <si>
    <t>Major Service</t>
  </si>
  <si>
    <t>Minor Service</t>
  </si>
  <si>
    <t>Front Left (FL)</t>
  </si>
  <si>
    <t>Front Right (FR)</t>
  </si>
  <si>
    <t>Rear Left 1 (RL1)</t>
  </si>
  <si>
    <t>Rear Left 2 Inner (RL2)</t>
  </si>
  <si>
    <t>Rear Right 1 (RR1)</t>
  </si>
  <si>
    <t>Rear Right 2 Inner (RR2)</t>
  </si>
  <si>
    <t>Assigned</t>
  </si>
  <si>
    <t>Terminated</t>
  </si>
  <si>
    <t>Under Maintenance</t>
  </si>
  <si>
    <t>Replacement Pending</t>
  </si>
  <si>
    <t>On Hold</t>
  </si>
  <si>
    <t>Accident Case</t>
  </si>
  <si>
    <t>Awaiting Approval</t>
  </si>
  <si>
    <t>Very Good</t>
  </si>
  <si>
    <t>Needs Maintenance</t>
  </si>
  <si>
    <t>Under Repair</t>
  </si>
  <si>
    <t>Accident Damaged</t>
  </si>
  <si>
    <t>Major Mechanical Issue</t>
  </si>
  <si>
    <t>Scrap</t>
  </si>
  <si>
    <t>Total Loss</t>
  </si>
  <si>
    <t>Accident</t>
  </si>
  <si>
    <t>Scrapped</t>
  </si>
  <si>
    <t>Reserved</t>
  </si>
  <si>
    <t>Out of Service</t>
  </si>
  <si>
    <t>Al-Futtaim Automobiles</t>
  </si>
  <si>
    <t>Arabian Automobiles</t>
  </si>
  <si>
    <t>Mitsubishi</t>
  </si>
  <si>
    <t>Hyundai</t>
  </si>
  <si>
    <t>Hertz</t>
  </si>
  <si>
    <t>Tayota</t>
  </si>
  <si>
    <t>Nissan</t>
  </si>
  <si>
    <t>Ashok Leyland</t>
  </si>
  <si>
    <t>Model</t>
  </si>
  <si>
    <t>Canter</t>
  </si>
  <si>
    <t>County</t>
  </si>
  <si>
    <t>Pick Up</t>
  </si>
  <si>
    <t>Hiace</t>
  </si>
  <si>
    <t>Prado</t>
  </si>
  <si>
    <t>Urvan</t>
  </si>
  <si>
    <t>Sunny</t>
  </si>
  <si>
    <t>Pickup</t>
  </si>
  <si>
    <t>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</si>
</sst>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856404"/>
      <name val="Calibri"/>
      <family val="2"/>
    </font>
    <font>
      <sz val="9"/>
      <color rgb="FF0D47A1"/>
      <name val="Calibri"/>
      <family val="2"/>
    </font>
    <font>
      <i/>
      <sz val="8"/>
      <color rgb="FF9E9E9E"/>
      <name val="Calibri"/>
      <family val="2"/>
    </font>
    <font>
      <b/>
      <sz val="10"/>
      <color rgb="FF333333"/>
      <name val="Calibri"/>
      <family val="2"/>
    </font>
    <font>
      <sz val="10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20"/>
      <color rgb="FFFFFFFF"/>
      <name val="Calibri"/>
      <family val="2"/>
    </font>
    <font>
      <sz val="11"/>
      <color rgb="FF333333"/>
      <name val="Calibri"/>
      <family val="2"/>
    </font>
    <font>
      <sz val="6"/>
      <color rgb="FFFFFFFF"/>
      <name val="Calibri"/>
      <family val="2"/>
    </font>
    <font>
      <b/>
      <sz val="11"/>
      <color rgb="FF856404"/>
      <name val="Calibri"/>
      <family val="2"/>
    </font>
    <font>
      <sz val="10"/>
      <color rgb="FF333333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2E86A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2">
    <xf numFmtId="0" fontId="0" fillId="0" borderId="0"/>
    <xf numFmtId="0" fontId="15" fillId="0" borderId="0"/>
  </cellStyleXfs>
  <cellXfs count="32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0" fillId="11" borderId="0" xfId="0" applyFill="1"/>
    <xf numFmtId="0" fontId="5" fillId="6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0" fillId="11" borderId="3" xfId="0" applyFill="1" applyBorder="1"/>
    <xf numFmtId="0" fontId="4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6B99B76D-27BD-C04B-B8C4-FA565A4AF5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2"/>
  <sheetViews>
    <sheetView zoomScale="143" workbookViewId="0">
      <selection activeCell="G17" sqref="G17"/>
    </sheetView>
  </sheetViews>
  <sheetFormatPr baseColWidth="10" defaultColWidth="8.83203125" defaultRowHeight="15" x14ac:dyDescent="0.2"/>
  <cols>
    <col min="1" max="1" width="3" customWidth="1"/>
    <col min="2" max="2" width="79.33203125" bestFit="1" customWidth="1"/>
    <col min="3" max="3" width="3" customWidth="1"/>
  </cols>
  <sheetData>
    <row r="2" spans="2:2" ht="40" customHeight="1" x14ac:dyDescent="0.2">
      <c r="B2" s="28" t="s">
        <v>0</v>
      </c>
    </row>
    <row r="3" spans="2:2" ht="40" customHeight="1" x14ac:dyDescent="0.2">
      <c r="B3" s="19"/>
    </row>
    <row r="5" spans="2:2" ht="22" customHeight="1" x14ac:dyDescent="0.2">
      <c r="B5" s="29" t="s">
        <v>1</v>
      </c>
    </row>
    <row r="6" spans="2:2" x14ac:dyDescent="0.2">
      <c r="B6" s="27" t="s">
        <v>2</v>
      </c>
    </row>
    <row r="7" spans="2:2" ht="14" customHeight="1" x14ac:dyDescent="0.2">
      <c r="B7" s="25"/>
    </row>
    <row r="8" spans="2:2" ht="19" customHeight="1" x14ac:dyDescent="0.2">
      <c r="B8" s="23" t="s">
        <v>3</v>
      </c>
    </row>
    <row r="9" spans="2:2" ht="18" customHeight="1" x14ac:dyDescent="0.2">
      <c r="B9" s="22" t="s">
        <v>4</v>
      </c>
    </row>
    <row r="10" spans="2:2" ht="14" customHeight="1" x14ac:dyDescent="0.2">
      <c r="B10" s="25"/>
    </row>
    <row r="11" spans="2:2" ht="19" customHeight="1" x14ac:dyDescent="0.2">
      <c r="B11" s="23" t="s">
        <v>5</v>
      </c>
    </row>
    <row r="12" spans="2:2" ht="18" customHeight="1" x14ac:dyDescent="0.2">
      <c r="B12" s="22" t="s">
        <v>6</v>
      </c>
    </row>
    <row r="13" spans="2:2" ht="14" customHeight="1" x14ac:dyDescent="0.2">
      <c r="B13" s="25"/>
    </row>
    <row r="14" spans="2:2" ht="19" customHeight="1" x14ac:dyDescent="0.2">
      <c r="B14" s="23" t="s">
        <v>7</v>
      </c>
    </row>
    <row r="15" spans="2:2" ht="18" customHeight="1" x14ac:dyDescent="0.2">
      <c r="B15" s="22" t="s">
        <v>8</v>
      </c>
    </row>
    <row r="16" spans="2:2" ht="14" customHeight="1" x14ac:dyDescent="0.2">
      <c r="B16" s="25"/>
    </row>
    <row r="17" spans="2:2" ht="19" customHeight="1" x14ac:dyDescent="0.2">
      <c r="B17" s="23" t="s">
        <v>9</v>
      </c>
    </row>
    <row r="18" spans="2:2" ht="18" customHeight="1" x14ac:dyDescent="0.2">
      <c r="B18" s="22" t="s">
        <v>10</v>
      </c>
    </row>
    <row r="19" spans="2:2" ht="14" customHeight="1" x14ac:dyDescent="0.2">
      <c r="B19" s="25"/>
    </row>
    <row r="20" spans="2:2" ht="19" customHeight="1" x14ac:dyDescent="0.2">
      <c r="B20" s="23" t="s">
        <v>11</v>
      </c>
    </row>
    <row r="21" spans="2:2" ht="18" customHeight="1" x14ac:dyDescent="0.2">
      <c r="B21" s="22" t="s">
        <v>12</v>
      </c>
    </row>
    <row r="22" spans="2:2" ht="14" customHeight="1" x14ac:dyDescent="0.2">
      <c r="B22" s="25"/>
    </row>
    <row r="23" spans="2:2" ht="20" customHeight="1" x14ac:dyDescent="0.2">
      <c r="B23" s="24" t="s">
        <v>13</v>
      </c>
    </row>
    <row r="24" spans="2:2" ht="18" customHeight="1" x14ac:dyDescent="0.2">
      <c r="B24" s="22" t="s">
        <v>14</v>
      </c>
    </row>
    <row r="25" spans="2:2" ht="18" customHeight="1" x14ac:dyDescent="0.2">
      <c r="B25" s="22" t="s">
        <v>15</v>
      </c>
    </row>
    <row r="26" spans="2:2" ht="18" customHeight="1" x14ac:dyDescent="0.2">
      <c r="B26" s="22" t="s">
        <v>16</v>
      </c>
    </row>
    <row r="27" spans="2:2" ht="18" customHeight="1" x14ac:dyDescent="0.2">
      <c r="B27" s="22" t="s">
        <v>17</v>
      </c>
    </row>
    <row r="28" spans="2:2" ht="18" customHeight="1" x14ac:dyDescent="0.2">
      <c r="B28" s="22" t="s">
        <v>18</v>
      </c>
    </row>
    <row r="29" spans="2:2" ht="18" customHeight="1" x14ac:dyDescent="0.2">
      <c r="B29" s="22" t="s">
        <v>19</v>
      </c>
    </row>
    <row r="30" spans="2:2" ht="14" customHeight="1" x14ac:dyDescent="0.2">
      <c r="B30" s="25"/>
    </row>
    <row r="31" spans="2:2" ht="20" customHeight="1" x14ac:dyDescent="0.2">
      <c r="B31" s="26" t="s">
        <v>20</v>
      </c>
    </row>
    <row r="32" spans="2:2" ht="18" customHeight="1" x14ac:dyDescent="0.2">
      <c r="B32" s="22" t="s">
        <v>21</v>
      </c>
    </row>
    <row r="33" spans="2:2" ht="18" customHeight="1" x14ac:dyDescent="0.2">
      <c r="B33" s="22" t="s">
        <v>22</v>
      </c>
    </row>
    <row r="34" spans="2:2" ht="18" customHeight="1" x14ac:dyDescent="0.2">
      <c r="B34" s="22" t="s">
        <v>23</v>
      </c>
    </row>
    <row r="35" spans="2:2" ht="18" customHeight="1" x14ac:dyDescent="0.2">
      <c r="B35" s="22" t="s">
        <v>24</v>
      </c>
    </row>
    <row r="36" spans="2:2" ht="18" customHeight="1" x14ac:dyDescent="0.2">
      <c r="B36" s="22" t="s">
        <v>25</v>
      </c>
    </row>
    <row r="37" spans="2:2" ht="18" customHeight="1" x14ac:dyDescent="0.2">
      <c r="B37" s="22" t="s">
        <v>26</v>
      </c>
    </row>
    <row r="38" spans="2:2" ht="18" customHeight="1" x14ac:dyDescent="0.2">
      <c r="B38" s="22" t="s">
        <v>27</v>
      </c>
    </row>
    <row r="39" spans="2:2" ht="18" customHeight="1" x14ac:dyDescent="0.2">
      <c r="B39" s="22" t="s">
        <v>28</v>
      </c>
    </row>
    <row r="40" spans="2:2" ht="18" customHeight="1" x14ac:dyDescent="0.2">
      <c r="B40" s="22" t="s">
        <v>29</v>
      </c>
    </row>
    <row r="41" spans="2:2" ht="18" customHeight="1" x14ac:dyDescent="0.2">
      <c r="B41" s="22" t="s">
        <v>30</v>
      </c>
    </row>
    <row r="42" spans="2:2" ht="18" customHeight="1" x14ac:dyDescent="0.2">
      <c r="B42" s="22" t="s">
        <v>31</v>
      </c>
    </row>
  </sheetData>
  <mergeCells count="39">
    <mergeCell ref="B2:B3"/>
    <mergeCell ref="B5"/>
    <mergeCell ref="B40"/>
    <mergeCell ref="B9"/>
    <mergeCell ref="B30"/>
    <mergeCell ref="B15"/>
    <mergeCell ref="B33"/>
    <mergeCell ref="B36"/>
    <mergeCell ref="B39"/>
    <mergeCell ref="B11"/>
    <mergeCell ref="B6"/>
    <mergeCell ref="B24"/>
    <mergeCell ref="B20"/>
    <mergeCell ref="B31"/>
    <mergeCell ref="B27"/>
    <mergeCell ref="B12"/>
    <mergeCell ref="B18"/>
    <mergeCell ref="B21"/>
    <mergeCell ref="B26"/>
    <mergeCell ref="B7"/>
    <mergeCell ref="B25"/>
    <mergeCell ref="B16"/>
    <mergeCell ref="B2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1"/>
    <mergeCell ref="B32"/>
    <mergeCell ref="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abSelected="1" zoomScale="165" workbookViewId="0">
      <pane xSplit="1" ySplit="5" topLeftCell="B6" activePane="bottomRight" state="frozen"/>
      <selection pane="topRight"/>
      <selection pane="bottomLeft"/>
      <selection pane="bottomRight" activeCell="A3" sqref="A3:O3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14" customWidth="1"/>
    <col min="5" max="5" width="8" customWidth="1"/>
    <col min="6" max="6" width="22" customWidth="1"/>
    <col min="7" max="7" width="18" customWidth="1"/>
    <col min="8" max="8" width="16" customWidth="1"/>
    <col min="9" max="10" width="14" customWidth="1"/>
    <col min="11" max="14" width="18" customWidth="1"/>
    <col min="15" max="15" width="28" customWidth="1"/>
  </cols>
  <sheetData>
    <row r="1" spans="1:15" ht="32" customHeight="1" x14ac:dyDescent="0.2">
      <c r="A1" s="18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90" customHeight="1" x14ac:dyDescent="0.2">
      <c r="A3" s="20" t="s">
        <v>34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8" customHeight="1" x14ac:dyDescent="0.2">
      <c r="A4" s="1" t="s">
        <v>281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</row>
    <row r="5" spans="1:15" ht="22" customHeight="1" x14ac:dyDescent="0.2">
      <c r="A5" s="10" t="s">
        <v>50</v>
      </c>
      <c r="B5" s="10" t="s">
        <v>306</v>
      </c>
      <c r="C5" s="10" t="s">
        <v>51</v>
      </c>
      <c r="D5" s="10" t="s">
        <v>52</v>
      </c>
      <c r="E5" s="10" t="s">
        <v>53</v>
      </c>
      <c r="F5" s="10" t="s">
        <v>307</v>
      </c>
      <c r="G5" s="10" t="s">
        <v>308</v>
      </c>
      <c r="H5" s="10" t="s">
        <v>54</v>
      </c>
      <c r="I5" s="10" t="s">
        <v>55</v>
      </c>
      <c r="J5" s="10" t="s">
        <v>56</v>
      </c>
      <c r="K5" s="10" t="s">
        <v>309</v>
      </c>
      <c r="L5" s="11" t="s">
        <v>57</v>
      </c>
      <c r="M5" s="10" t="s">
        <v>58</v>
      </c>
      <c r="N5" s="10" t="s">
        <v>59</v>
      </c>
      <c r="O5" s="11" t="s">
        <v>60</v>
      </c>
    </row>
    <row r="6" spans="1:15" ht="18" customHeight="1" x14ac:dyDescent="0.2">
      <c r="A6" s="12" t="s">
        <v>323</v>
      </c>
      <c r="B6" s="12"/>
      <c r="C6" s="12" t="s">
        <v>425</v>
      </c>
      <c r="D6" s="12" t="s">
        <v>432</v>
      </c>
      <c r="E6" s="12">
        <v>2018</v>
      </c>
      <c r="F6" s="12"/>
      <c r="G6" s="12"/>
      <c r="H6" s="12" t="s">
        <v>439</v>
      </c>
      <c r="I6" s="12"/>
      <c r="J6" s="12"/>
      <c r="K6" s="12" t="s">
        <v>240</v>
      </c>
      <c r="L6" s="12"/>
      <c r="M6" s="12"/>
      <c r="N6" s="12">
        <v>544341</v>
      </c>
      <c r="O6" s="12"/>
    </row>
    <row r="7" spans="1:15" s="9" customFormat="1" ht="18" customHeight="1" x14ac:dyDescent="0.2">
      <c r="A7" s="13" t="s">
        <v>324</v>
      </c>
      <c r="B7" s="13"/>
      <c r="C7" s="13" t="s">
        <v>426</v>
      </c>
      <c r="D7" s="13" t="s">
        <v>433</v>
      </c>
      <c r="E7" s="13">
        <v>2016</v>
      </c>
      <c r="F7" s="13"/>
      <c r="G7" s="13"/>
      <c r="H7" s="13" t="s">
        <v>346</v>
      </c>
      <c r="I7" s="13"/>
      <c r="J7" s="13"/>
      <c r="K7" s="13"/>
      <c r="L7" s="14"/>
      <c r="M7" s="13"/>
      <c r="N7" s="13">
        <v>490091</v>
      </c>
      <c r="O7" s="13"/>
    </row>
    <row r="8" spans="1:15" ht="18" customHeight="1" x14ac:dyDescent="0.2">
      <c r="A8" s="12" t="s">
        <v>310</v>
      </c>
      <c r="B8" s="12" t="s">
        <v>440</v>
      </c>
      <c r="C8" s="12" t="s">
        <v>427</v>
      </c>
      <c r="D8" s="12" t="s">
        <v>434</v>
      </c>
      <c r="E8" s="12">
        <v>2015</v>
      </c>
      <c r="F8" s="12"/>
      <c r="G8" s="12"/>
      <c r="H8" s="12" t="s">
        <v>439</v>
      </c>
      <c r="I8" s="12"/>
      <c r="J8" s="12"/>
      <c r="K8" s="12"/>
      <c r="L8" s="12"/>
      <c r="M8" s="12"/>
      <c r="N8" s="12">
        <v>487013</v>
      </c>
      <c r="O8" s="12"/>
    </row>
    <row r="9" spans="1:15" s="9" customFormat="1" ht="18" customHeight="1" x14ac:dyDescent="0.2">
      <c r="A9" s="13" t="s">
        <v>325</v>
      </c>
      <c r="B9" s="13"/>
      <c r="C9" s="13" t="s">
        <v>428</v>
      </c>
      <c r="D9" s="13" t="s">
        <v>435</v>
      </c>
      <c r="E9" s="13">
        <v>2020</v>
      </c>
      <c r="F9" s="13"/>
      <c r="G9" s="13"/>
      <c r="H9" s="13" t="s">
        <v>345</v>
      </c>
      <c r="I9" s="13"/>
      <c r="J9" s="13"/>
      <c r="K9" s="13"/>
      <c r="L9" s="14"/>
      <c r="M9" s="13"/>
      <c r="N9" s="13">
        <v>649236</v>
      </c>
      <c r="O9" s="13"/>
    </row>
    <row r="10" spans="1:15" ht="18" customHeight="1" x14ac:dyDescent="0.2">
      <c r="A10" s="12" t="s">
        <v>326</v>
      </c>
      <c r="B10" s="12"/>
      <c r="C10" s="12" t="s">
        <v>428</v>
      </c>
      <c r="D10" s="12" t="s">
        <v>435</v>
      </c>
      <c r="E10" s="12">
        <v>2018</v>
      </c>
      <c r="F10" s="12"/>
      <c r="G10" s="12"/>
      <c r="H10" s="12" t="s">
        <v>345</v>
      </c>
      <c r="I10" s="12"/>
      <c r="J10" s="12"/>
      <c r="K10" s="12"/>
      <c r="L10" s="12"/>
      <c r="M10" s="12"/>
      <c r="N10" s="12">
        <v>840657</v>
      </c>
      <c r="O10" s="12"/>
    </row>
    <row r="11" spans="1:15" s="9" customFormat="1" ht="18" customHeight="1" x14ac:dyDescent="0.2">
      <c r="A11" s="13" t="s">
        <v>327</v>
      </c>
      <c r="B11" s="13"/>
      <c r="C11" s="13" t="s">
        <v>428</v>
      </c>
      <c r="D11" s="13" t="s">
        <v>436</v>
      </c>
      <c r="E11" s="13">
        <v>2012</v>
      </c>
      <c r="F11" s="13"/>
      <c r="G11" s="13"/>
      <c r="H11" s="13" t="s">
        <v>348</v>
      </c>
      <c r="I11" s="13"/>
      <c r="J11" s="13"/>
      <c r="K11" s="13"/>
      <c r="L11" s="14"/>
      <c r="M11" s="13"/>
      <c r="N11" s="13">
        <v>355808</v>
      </c>
      <c r="O11" s="13"/>
    </row>
    <row r="12" spans="1:15" ht="18" customHeight="1" x14ac:dyDescent="0.2">
      <c r="A12" s="12" t="s">
        <v>328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>
        <v>726154</v>
      </c>
      <c r="O12" s="12"/>
    </row>
    <row r="13" spans="1:15" s="9" customFormat="1" ht="18" customHeight="1" x14ac:dyDescent="0.2">
      <c r="A13" s="13" t="s">
        <v>329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>
        <v>608929</v>
      </c>
      <c r="O13" s="13"/>
    </row>
    <row r="14" spans="1:15" ht="18" customHeight="1" x14ac:dyDescent="0.2">
      <c r="A14" s="12" t="s">
        <v>330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v>578999</v>
      </c>
      <c r="O14" s="12"/>
    </row>
    <row r="15" spans="1:15" s="9" customFormat="1" ht="18" customHeight="1" x14ac:dyDescent="0.2">
      <c r="A15" s="13" t="s">
        <v>311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>
        <v>319289</v>
      </c>
      <c r="O15" s="13"/>
    </row>
    <row r="16" spans="1:15" ht="18" customHeight="1" x14ac:dyDescent="0.2">
      <c r="A16" s="12" t="s">
        <v>331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>
        <v>735303</v>
      </c>
      <c r="O16" s="12"/>
    </row>
    <row r="17" spans="1:15" s="9" customFormat="1" ht="18" customHeight="1" x14ac:dyDescent="0.2">
      <c r="A17" s="13" t="s">
        <v>332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>
        <v>497569</v>
      </c>
      <c r="O17" s="13"/>
    </row>
    <row r="18" spans="1:15" ht="18" customHeight="1" x14ac:dyDescent="0.2">
      <c r="A18" s="12" t="s">
        <v>312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v>472852</v>
      </c>
      <c r="O18" s="12"/>
    </row>
    <row r="19" spans="1:15" s="9" customFormat="1" ht="18" customHeight="1" x14ac:dyDescent="0.2">
      <c r="A19" s="13" t="s">
        <v>313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>
        <v>230784</v>
      </c>
      <c r="O19" s="13"/>
    </row>
    <row r="20" spans="1:15" ht="18" customHeight="1" x14ac:dyDescent="0.2">
      <c r="A20" s="12" t="s">
        <v>333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v>427091</v>
      </c>
      <c r="O20" s="12"/>
    </row>
    <row r="21" spans="1:15" s="9" customFormat="1" ht="18" customHeight="1" x14ac:dyDescent="0.2">
      <c r="A21" s="13" t="s">
        <v>334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>
        <v>199692</v>
      </c>
      <c r="O21" s="13"/>
    </row>
    <row r="22" spans="1:15" ht="18" customHeight="1" x14ac:dyDescent="0.2">
      <c r="A22" s="12" t="s">
        <v>314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v>437125</v>
      </c>
      <c r="O22" s="12"/>
    </row>
    <row r="23" spans="1:15" s="9" customFormat="1" ht="18" customHeight="1" x14ac:dyDescent="0.2">
      <c r="A23" s="13" t="s">
        <v>315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>
        <v>153524</v>
      </c>
      <c r="O23" s="13"/>
    </row>
    <row r="24" spans="1:15" ht="18" customHeight="1" x14ac:dyDescent="0.2">
      <c r="A24" s="12" t="s">
        <v>335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v>355808</v>
      </c>
      <c r="O24" s="12"/>
    </row>
    <row r="25" spans="1:15" s="9" customFormat="1" ht="18" customHeight="1" x14ac:dyDescent="0.2">
      <c r="A25" s="13" t="s">
        <v>316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>
        <v>304721</v>
      </c>
      <c r="O25" s="13"/>
    </row>
    <row r="26" spans="1:15" ht="18" customHeight="1" x14ac:dyDescent="0.2">
      <c r="A26" s="12" t="s">
        <v>336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v>520516</v>
      </c>
      <c r="O26" s="12"/>
    </row>
    <row r="27" spans="1:15" s="9" customFormat="1" ht="18" customHeight="1" x14ac:dyDescent="0.2">
      <c r="A27" s="13" t="s">
        <v>337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>
        <v>156555</v>
      </c>
      <c r="O27" s="13"/>
    </row>
    <row r="28" spans="1:15" ht="18" customHeight="1" x14ac:dyDescent="0.2">
      <c r="A28" s="12" t="s">
        <v>338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v>119222</v>
      </c>
      <c r="O28" s="12"/>
    </row>
    <row r="29" spans="1:15" s="9" customFormat="1" ht="18" customHeight="1" x14ac:dyDescent="0.2">
      <c r="A29" s="13" t="s">
        <v>339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>
        <v>24584</v>
      </c>
      <c r="O29" s="13"/>
    </row>
    <row r="30" spans="1:15" ht="18" customHeight="1" x14ac:dyDescent="0.2">
      <c r="A30" s="12" t="s">
        <v>317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v>252553</v>
      </c>
      <c r="O30" s="12"/>
    </row>
    <row r="31" spans="1:15" s="9" customFormat="1" ht="18" customHeight="1" x14ac:dyDescent="0.2">
      <c r="A31" s="13" t="s">
        <v>318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4"/>
      <c r="M31" s="13"/>
      <c r="N31" s="13">
        <v>62260</v>
      </c>
      <c r="O31" s="13"/>
    </row>
    <row r="32" spans="1:15" ht="18" customHeight="1" x14ac:dyDescent="0.2">
      <c r="A32" s="12" t="s">
        <v>340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>
        <v>156555</v>
      </c>
      <c r="O32" s="12"/>
    </row>
    <row r="33" spans="1:15" s="9" customFormat="1" ht="18" customHeight="1" x14ac:dyDescent="0.2">
      <c r="A33" s="13" t="s">
        <v>341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3"/>
      <c r="N33" s="13">
        <v>85307</v>
      </c>
      <c r="O33" s="13"/>
    </row>
    <row r="34" spans="1:15" ht="18" customHeight="1" x14ac:dyDescent="0.2">
      <c r="A34" s="12" t="s">
        <v>319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>
        <v>231000</v>
      </c>
      <c r="O34" s="12"/>
    </row>
    <row r="35" spans="1:15" s="9" customFormat="1" ht="18" customHeight="1" x14ac:dyDescent="0.2">
      <c r="A35" s="13" t="s">
        <v>320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3"/>
      <c r="N35" s="13">
        <v>62260</v>
      </c>
      <c r="O35" s="13"/>
    </row>
    <row r="36" spans="1:15" ht="18" customHeight="1" x14ac:dyDescent="0.2">
      <c r="A36" s="12" t="s">
        <v>321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>
        <v>39141</v>
      </c>
      <c r="O36" s="12"/>
    </row>
    <row r="37" spans="1:15" s="9" customFormat="1" ht="18" customHeight="1" x14ac:dyDescent="0.2">
      <c r="A37" s="13" t="s">
        <v>322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4"/>
      <c r="M37" s="13"/>
      <c r="N37" s="13">
        <v>41151</v>
      </c>
      <c r="O37" s="13"/>
    </row>
    <row r="38" spans="1:15" ht="18" customHeight="1" x14ac:dyDescent="0.2">
      <c r="A38" s="12" t="s">
        <v>342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>
        <v>111001</v>
      </c>
      <c r="O38" s="12"/>
    </row>
    <row r="39" spans="1:15" s="9" customFormat="1" ht="18" customHeight="1" x14ac:dyDescent="0.2">
      <c r="A39" s="13" t="s">
        <v>343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3"/>
      <c r="N39" s="13"/>
      <c r="O39" s="13"/>
    </row>
  </sheetData>
  <mergeCells count="3">
    <mergeCell ref="A1:O1"/>
    <mergeCell ref="A3:O3"/>
    <mergeCell ref="A2:O2"/>
  </mergeCells>
  <conditionalFormatting sqref="A1:A1048576">
    <cfRule type="duplicateValues" dxfId="0" priority="1"/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AB6EFD9-041F-EB4C-A9D1-99E681A12EF5}">
          <x14:formula1>
            <xm:f>'11. Master Lists (Ref)'!$A$3:$A$32</xm:f>
          </x14:formula1>
          <xm:sqref>H6</xm:sqref>
        </x14:dataValidation>
        <x14:dataValidation type="list" allowBlank="1" showInputMessage="1" showErrorMessage="1" xr:uid="{5A89BEA0-2ACA-F041-ACD8-10E2ADDBB4B6}">
          <x14:formula1>
            <xm:f>'11. Master Lists (Ref)'!$A$3:$A$15</xm:f>
          </x14:formula1>
          <xm:sqref>H7:H25</xm:sqref>
        </x14:dataValidation>
        <x14:dataValidation type="list" allowBlank="1" showInputMessage="1" showErrorMessage="1" xr:uid="{34F43002-3B9F-C843-9B87-2F3CCE982B4F}">
          <x14:formula1>
            <xm:f>'11. Master Lists (Ref)'!$C$3:$C$11</xm:f>
          </x14:formula1>
          <xm:sqref>I6:I25</xm:sqref>
        </x14:dataValidation>
        <x14:dataValidation type="list" allowBlank="1" showInputMessage="1" showErrorMessage="1" xr:uid="{63982B84-2E32-EA4F-A47C-FB253ABB503D}">
          <x14:formula1>
            <xm:f>'11. Master Lists (Ref)'!$E$3:$E$15</xm:f>
          </x14:formula1>
          <xm:sqref>J6:J25</xm:sqref>
        </x14:dataValidation>
        <x14:dataValidation type="list" allowBlank="1" showInputMessage="1" showErrorMessage="1" xr:uid="{A2B98C07-FEAE-8A49-BCBA-4A08AE936A7D}">
          <x14:formula1>
            <xm:f>'10. Fuel Stations'!$A$6:$A$40</xm:f>
          </x14:formula1>
          <xm:sqref>L6:L26</xm:sqref>
        </x14:dataValidation>
        <x14:dataValidation type="list" allowBlank="1" showInputMessage="1" showErrorMessage="1" xr:uid="{DCC6675D-B315-5A4F-A4D6-82972148995D}">
          <x14:formula1>
            <xm:f>'11. Master Lists (Ref)'!$AA$3:$AA$69</xm:f>
          </x14:formula1>
          <xm:sqref>K6:K26</xm:sqref>
        </x14:dataValidation>
        <x14:dataValidation type="list" allowBlank="1" showInputMessage="1" showErrorMessage="1" xr:uid="{FF393936-4D85-044E-A0FB-855DBB454F3A}">
          <x14:formula1>
            <xm:f>'11. Master Lists (Ref)'!$AC$3:$AC$40</xm:f>
          </x14:formula1>
          <xm:sqref>C6:C39</xm:sqref>
        </x14:dataValidation>
        <x14:dataValidation type="list" allowBlank="1" showInputMessage="1" showErrorMessage="1" xr:uid="{7A142AA3-6A63-3748-8560-FD26020B54F1}">
          <x14:formula1>
            <xm:f>'11. Master Lists (Ref)'!$AE$3:$AE$40</xm:f>
          </x14:formula1>
          <xm:sqref>D6:D39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158" workbookViewId="0">
      <pane xSplit="1" ySplit="5" topLeftCell="B57" activePane="bottomRight" state="frozen"/>
      <selection pane="topRight"/>
      <selection pane="bottomLeft"/>
      <selection pane="bottomRight" activeCell="B6" sqref="B6:B7"/>
    </sheetView>
  </sheetViews>
  <sheetFormatPr baseColWidth="10" defaultColWidth="8.83203125" defaultRowHeight="15" x14ac:dyDescent="0.2"/>
  <cols>
    <col min="1" max="1" width="11.33203125" bestFit="1" customWidth="1"/>
    <col min="2" max="2" width="15.33203125" bestFit="1" customWidth="1"/>
    <col min="3" max="3" width="20.33203125" bestFit="1" customWidth="1"/>
    <col min="4" max="4" width="20" customWidth="1"/>
    <col min="5" max="5" width="16" customWidth="1"/>
    <col min="6" max="6" width="26" customWidth="1"/>
    <col min="7" max="7" width="18" customWidth="1"/>
    <col min="8" max="9" width="16" customWidth="1"/>
    <col min="10" max="10" width="28" customWidth="1"/>
  </cols>
  <sheetData>
    <row r="1" spans="1:10" ht="32" customHeight="1" x14ac:dyDescent="0.2">
      <c r="A1" s="18" t="s">
        <v>61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" customHeight="1" x14ac:dyDescent="0.2">
      <c r="A2" s="21" t="s">
        <v>33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4" customHeight="1" x14ac:dyDescent="0.2">
      <c r="A3" s="30" t="s">
        <v>62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ht="18" customHeight="1" x14ac:dyDescent="0.2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</row>
    <row r="5" spans="1:10" ht="22" customHeight="1" x14ac:dyDescent="0.2">
      <c r="A5" s="2" t="s">
        <v>73</v>
      </c>
      <c r="B5" s="2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3" t="s">
        <v>81</v>
      </c>
      <c r="J5" s="3" t="s">
        <v>60</v>
      </c>
    </row>
    <row r="6" spans="1:10" ht="18" customHeight="1" x14ac:dyDescent="0.2">
      <c r="A6" s="4">
        <v>1</v>
      </c>
      <c r="B6" s="4" t="s">
        <v>275</v>
      </c>
      <c r="C6" s="4"/>
      <c r="D6" s="4"/>
      <c r="E6" s="4"/>
      <c r="F6" s="4"/>
      <c r="G6" s="4"/>
      <c r="H6" s="4"/>
      <c r="I6" s="4"/>
      <c r="J6" s="4"/>
    </row>
    <row r="7" spans="1:10" ht="18" customHeight="1" x14ac:dyDescent="0.2">
      <c r="A7" s="5">
        <v>2</v>
      </c>
      <c r="B7" s="5" t="s">
        <v>276</v>
      </c>
      <c r="C7" s="5"/>
      <c r="D7" s="5"/>
      <c r="E7" s="5"/>
      <c r="F7" s="5"/>
      <c r="G7" s="5"/>
      <c r="H7" s="5"/>
      <c r="I7" s="5"/>
      <c r="J7" s="5"/>
    </row>
    <row r="8" spans="1:10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8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8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8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="172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0" customWidth="1"/>
    <col min="4" max="5" width="14" customWidth="1"/>
    <col min="6" max="6" width="22" customWidth="1"/>
    <col min="7" max="8" width="16" customWidth="1"/>
    <col min="9" max="9" width="14" customWidth="1"/>
    <col min="10" max="10" width="28" customWidth="1"/>
  </cols>
  <sheetData>
    <row r="1" spans="1:10" ht="32" customHeight="1" x14ac:dyDescent="0.2">
      <c r="A1" s="18" t="s">
        <v>82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72" customHeight="1" x14ac:dyDescent="0.2">
      <c r="A3" s="20" t="s">
        <v>83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18" customHeight="1" x14ac:dyDescent="0.2">
      <c r="A4" s="1" t="s">
        <v>35</v>
      </c>
      <c r="B4" s="1" t="s">
        <v>84</v>
      </c>
      <c r="C4" s="1" t="s">
        <v>85</v>
      </c>
      <c r="D4" s="1" t="s">
        <v>86</v>
      </c>
      <c r="E4" s="1" t="s">
        <v>87</v>
      </c>
      <c r="F4" s="1" t="s">
        <v>88</v>
      </c>
      <c r="G4" s="1" t="s">
        <v>45</v>
      </c>
      <c r="H4" s="1" t="s">
        <v>89</v>
      </c>
      <c r="I4" s="1" t="s">
        <v>90</v>
      </c>
      <c r="J4" s="1" t="s">
        <v>91</v>
      </c>
    </row>
    <row r="5" spans="1:10" ht="22" customHeight="1" x14ac:dyDescent="0.2">
      <c r="A5" s="2" t="s">
        <v>50</v>
      </c>
      <c r="B5" s="2" t="s">
        <v>92</v>
      </c>
      <c r="C5" s="3" t="s">
        <v>93</v>
      </c>
      <c r="D5" s="3" t="s">
        <v>94</v>
      </c>
      <c r="E5" s="2" t="s">
        <v>95</v>
      </c>
      <c r="F5" s="3" t="s">
        <v>96</v>
      </c>
      <c r="G5" s="3" t="s">
        <v>97</v>
      </c>
      <c r="H5" s="3" t="s">
        <v>98</v>
      </c>
      <c r="I5" s="3" t="s">
        <v>99</v>
      </c>
      <c r="J5" s="3" t="s">
        <v>60</v>
      </c>
    </row>
    <row r="6" spans="1:10" ht="18" customHeight="1" x14ac:dyDescent="0.2"/>
    <row r="7" spans="1:10" ht="18" customHeight="1" x14ac:dyDescent="0.2"/>
    <row r="8" spans="1:10" ht="18" customHeight="1" x14ac:dyDescent="0.2"/>
    <row r="9" spans="1:10" ht="18" customHeight="1" x14ac:dyDescent="0.2"/>
    <row r="10" spans="1:10" ht="18" customHeight="1" x14ac:dyDescent="0.2"/>
    <row r="11" spans="1:10" ht="18" customHeight="1" x14ac:dyDescent="0.2"/>
    <row r="12" spans="1:10" ht="18" customHeight="1" x14ac:dyDescent="0.2"/>
    <row r="13" spans="1:10" ht="18" customHeight="1" x14ac:dyDescent="0.2"/>
    <row r="14" spans="1:10" ht="18" customHeight="1" x14ac:dyDescent="0.2"/>
    <row r="15" spans="1:10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</sheetData>
  <mergeCells count="3">
    <mergeCell ref="A1:J1"/>
    <mergeCell ref="A3:J3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B9D9F0-296D-E841-ADA1-59EAC74529C3}">
          <x14:formula1>
            <xm:f>'11. Master Lists (Ref)'!$G$3:$G$56</xm:f>
          </x14:formula1>
          <xm:sqref>B6:B14</xm:sqref>
        </x14:dataValidation>
        <x14:dataValidation type="list" allowBlank="1" showInputMessage="1" showErrorMessage="1" xr:uid="{BE9977DB-9D49-8B4B-B6A8-1F94FECE10D3}">
          <x14:formula1>
            <xm:f>'1. Vehicles'!$A$6:$A$119</xm:f>
          </x14:formula1>
          <xm:sqref>A6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zoomScale="175" workbookViewId="0">
      <pane xSplit="1" ySplit="5" topLeftCell="B6" activePane="bottomRight" state="frozen"/>
      <selection pane="topRight"/>
      <selection pane="bottomLeft"/>
      <selection pane="bottomRight" activeCell="I22" sqref="I22"/>
    </sheetView>
  </sheetViews>
  <sheetFormatPr baseColWidth="10" defaultColWidth="8.83203125" defaultRowHeight="15" x14ac:dyDescent="0.2"/>
  <cols>
    <col min="1" max="1" width="14" customWidth="1"/>
    <col min="2" max="2" width="14" style="17" customWidth="1"/>
    <col min="3" max="3" width="24" customWidth="1"/>
    <col min="4" max="4" width="22" customWidth="1"/>
    <col min="5" max="6" width="16" customWidth="1"/>
    <col min="7" max="7" width="14" customWidth="1"/>
    <col min="8" max="9" width="18" customWidth="1"/>
    <col min="10" max="10" width="30" customWidth="1"/>
  </cols>
  <sheetData>
    <row r="1" spans="1:10" ht="32" customHeight="1" x14ac:dyDescent="0.2">
      <c r="A1" s="18" t="s">
        <v>100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90" customHeight="1" x14ac:dyDescent="0.2">
      <c r="A3" s="20" t="s">
        <v>101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18" customHeight="1" x14ac:dyDescent="0.2">
      <c r="A4" s="1" t="s">
        <v>35</v>
      </c>
      <c r="B4" s="15" t="s">
        <v>63</v>
      </c>
      <c r="C4" s="1" t="s">
        <v>64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48</v>
      </c>
      <c r="I4" s="1" t="s">
        <v>106</v>
      </c>
      <c r="J4" s="1" t="s">
        <v>107</v>
      </c>
    </row>
    <row r="5" spans="1:10" ht="22" customHeight="1" x14ac:dyDescent="0.2">
      <c r="A5" s="2" t="s">
        <v>50</v>
      </c>
      <c r="B5" s="2" t="s">
        <v>73</v>
      </c>
      <c r="C5" s="3" t="s">
        <v>108</v>
      </c>
      <c r="D5" s="3" t="s">
        <v>75</v>
      </c>
      <c r="E5" s="2" t="s">
        <v>109</v>
      </c>
      <c r="F5" s="3" t="s">
        <v>110</v>
      </c>
      <c r="G5" s="2" t="s">
        <v>55</v>
      </c>
      <c r="H5" s="3" t="s">
        <v>111</v>
      </c>
      <c r="I5" s="3" t="s">
        <v>112</v>
      </c>
      <c r="J5" s="3" t="s">
        <v>60</v>
      </c>
    </row>
    <row r="6" spans="1:10" ht="18" customHeight="1" x14ac:dyDescent="0.2">
      <c r="A6" s="4"/>
      <c r="B6" s="16">
        <v>2</v>
      </c>
      <c r="C6" s="4" t="str">
        <f>IFERROR(VLOOKUP(B6,'2. Employees'!$A$6:$B$100,2,0)," ")</f>
        <v>suraj</v>
      </c>
      <c r="D6" s="4"/>
      <c r="E6" s="4"/>
      <c r="F6" s="4"/>
      <c r="G6" s="4"/>
      <c r="H6" s="4"/>
      <c r="I6" s="4"/>
      <c r="J6" s="4"/>
    </row>
    <row r="7" spans="1:10" x14ac:dyDescent="0.2">
      <c r="B7" s="17">
        <v>1</v>
      </c>
      <c r="C7" t="str">
        <f>IFERROR(VLOOKUP(B7,'2. Employees'!$A$6:$B$100,2,0)," ")</f>
        <v>amjadh</v>
      </c>
    </row>
    <row r="8" spans="1:10" ht="18" customHeight="1" x14ac:dyDescent="0.2">
      <c r="A8" s="4"/>
      <c r="B8" s="16"/>
      <c r="C8" s="4" t="str">
        <f>IFERROR(VLOOKUP(B8,'2. Employees'!$A$6:$B$100,2,0)," ")</f>
        <v xml:space="preserve"> </v>
      </c>
      <c r="D8" s="4"/>
      <c r="E8" s="4"/>
      <c r="F8" s="4"/>
      <c r="G8" s="4"/>
      <c r="H8" s="4"/>
      <c r="I8" s="4"/>
      <c r="J8" s="4"/>
    </row>
    <row r="9" spans="1:10" x14ac:dyDescent="0.2">
      <c r="C9" t="str">
        <f>IFERROR(VLOOKUP(B9,'2. Employees'!$A$6:$B$100,2,0)," ")</f>
        <v xml:space="preserve"> </v>
      </c>
    </row>
    <row r="10" spans="1:10" ht="18" customHeight="1" x14ac:dyDescent="0.2">
      <c r="A10" s="4"/>
      <c r="B10" s="16"/>
      <c r="C10" s="4" t="str">
        <f>IFERROR(VLOOKUP(B10,'2. Employees'!$A$6:$B$100,2,0)," ")</f>
        <v xml:space="preserve"> </v>
      </c>
      <c r="D10" s="4"/>
      <c r="E10" s="4"/>
      <c r="F10" s="4"/>
      <c r="G10" s="4"/>
      <c r="H10" s="4"/>
      <c r="I10" s="4"/>
      <c r="J10" s="4"/>
    </row>
    <row r="11" spans="1:10" x14ac:dyDescent="0.2">
      <c r="C11" t="str">
        <f>IFERROR(VLOOKUP(B11,'2. Employees'!$A$6:$B$100,2,0)," ")</f>
        <v xml:space="preserve"> </v>
      </c>
    </row>
    <row r="12" spans="1:10" ht="18" customHeight="1" x14ac:dyDescent="0.2">
      <c r="A12" s="4"/>
      <c r="B12" s="16"/>
      <c r="C12" s="4" t="str">
        <f>IFERROR(VLOOKUP(B12,'2. Employees'!$A$6:$B$100,2,0)," ")</f>
        <v xml:space="preserve"> </v>
      </c>
      <c r="D12" s="4"/>
      <c r="E12" s="4"/>
      <c r="F12" s="4"/>
      <c r="G12" s="4"/>
      <c r="H12" s="4"/>
      <c r="I12" s="4"/>
      <c r="J12" s="4"/>
    </row>
    <row r="13" spans="1:10" x14ac:dyDescent="0.2">
      <c r="C13" t="str">
        <f>IFERROR(VLOOKUP(B13,'2. Employees'!$A$6:$B$100,2,0)," ")</f>
        <v xml:space="preserve"> </v>
      </c>
    </row>
    <row r="14" spans="1:10" ht="18" customHeight="1" x14ac:dyDescent="0.2">
      <c r="A14" s="4"/>
      <c r="B14" s="16"/>
      <c r="C14" s="4" t="str">
        <f>IFERROR(VLOOKUP(B14,'2. Employees'!$A$6:$B$100,2,0)," ")</f>
        <v xml:space="preserve"> </v>
      </c>
      <c r="D14" s="4"/>
      <c r="E14" s="4"/>
      <c r="F14" s="4"/>
      <c r="G14" s="4"/>
      <c r="H14" s="4"/>
      <c r="I14" s="4"/>
      <c r="J14" s="4"/>
    </row>
    <row r="15" spans="1:10" x14ac:dyDescent="0.2">
      <c r="C15" t="str">
        <f>IFERROR(VLOOKUP(B15,'2. Employees'!$A$6:$B$100,2,0)," ")</f>
        <v xml:space="preserve"> </v>
      </c>
    </row>
    <row r="16" spans="1:10" ht="18" customHeight="1" x14ac:dyDescent="0.2">
      <c r="A16" s="4"/>
      <c r="B16" s="16"/>
      <c r="C16" s="4" t="str">
        <f>IFERROR(VLOOKUP(B16,'2. Employees'!$A$6:$B$100,2,0)," ")</f>
        <v xml:space="preserve"> </v>
      </c>
      <c r="D16" s="4"/>
      <c r="E16" s="4"/>
      <c r="F16" s="4"/>
      <c r="G16" s="4"/>
      <c r="H16" s="4"/>
      <c r="I16" s="4"/>
      <c r="J16" s="4"/>
    </row>
    <row r="17" spans="1:10" x14ac:dyDescent="0.2">
      <c r="C17" t="str">
        <f>IFERROR(VLOOKUP(B17,'2. Employees'!$A$6:$B$100,2,0)," ")</f>
        <v xml:space="preserve"> </v>
      </c>
    </row>
    <row r="18" spans="1:10" ht="18" customHeight="1" x14ac:dyDescent="0.2">
      <c r="A18" s="4"/>
      <c r="B18" s="16"/>
      <c r="C18" s="4" t="str">
        <f>IFERROR(VLOOKUP(B18,'2. Employees'!$A$6:$B$100,2,0)," ")</f>
        <v xml:space="preserve"> </v>
      </c>
      <c r="D18" s="4"/>
      <c r="E18" s="4"/>
      <c r="F18" s="4"/>
      <c r="G18" s="4"/>
      <c r="H18" s="4"/>
      <c r="I18" s="4"/>
      <c r="J18" s="4"/>
    </row>
  </sheetData>
  <mergeCells count="3">
    <mergeCell ref="A1:J1"/>
    <mergeCell ref="A3:J3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B07C7C-66E4-6849-BBB1-13BA97827E51}">
          <x14:formula1>
            <xm:f>'2. Employees'!$A$6:$A$84</xm:f>
          </x14:formula1>
          <xm:sqref>B6:B100</xm:sqref>
        </x14:dataValidation>
        <x14:dataValidation type="list" allowBlank="1" showInputMessage="1" showErrorMessage="1" xr:uid="{A378D033-FC65-8241-84AB-CDC0DBA8F1D3}">
          <x14:formula1>
            <xm:f>'11. Master Lists (Ref)'!$O$3:$O$22</xm:f>
          </x14:formula1>
          <xm:sqref>G6:G18</xm:sqref>
        </x14:dataValidation>
        <x14:dataValidation type="list" allowBlank="1" showInputMessage="1" showErrorMessage="1" xr:uid="{E5521A87-2221-E146-A423-47F4D250E9F8}">
          <x14:formula1>
            <xm:f>'1. Vehicles'!$A$6:$A$124</xm:f>
          </x14:formula1>
          <xm:sqref>A6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3"/>
  <sheetViews>
    <sheetView zoomScale="175" workbookViewId="0">
      <pane xSplit="1" ySplit="5" topLeftCell="D6" activePane="bottomRight" state="frozen"/>
      <selection pane="topRight"/>
      <selection pane="bottomLeft"/>
      <selection pane="bottomRight" activeCell="K16" sqref="K16"/>
    </sheetView>
  </sheetViews>
  <sheetFormatPr baseColWidth="10" defaultColWidth="8.83203125" defaultRowHeight="15" x14ac:dyDescent="0.2"/>
  <cols>
    <col min="1" max="1" width="15.5" customWidth="1"/>
    <col min="2" max="2" width="20" customWidth="1"/>
    <col min="3" max="3" width="14" customWidth="1"/>
    <col min="4" max="4" width="24" customWidth="1"/>
    <col min="5" max="5" width="16" customWidth="1"/>
    <col min="6" max="6" width="22" customWidth="1"/>
    <col min="7" max="7" width="14" customWidth="1"/>
    <col min="8" max="8" width="22" customWidth="1"/>
    <col min="9" max="9" width="14" customWidth="1"/>
    <col min="10" max="10" width="22" customWidth="1"/>
    <col min="11" max="11" width="28" customWidth="1"/>
    <col min="12" max="13" width="14" customWidth="1"/>
    <col min="14" max="14" width="28" customWidth="1"/>
  </cols>
  <sheetData>
    <row r="1" spans="1:14" ht="32" customHeight="1" x14ac:dyDescent="0.2">
      <c r="A1" s="18" t="s">
        <v>113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90" customHeight="1" x14ac:dyDescent="0.2">
      <c r="A3" s="20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8" customHeight="1" x14ac:dyDescent="0.2">
      <c r="A4" s="1" t="s">
        <v>35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64</v>
      </c>
      <c r="K4" s="1" t="s">
        <v>123</v>
      </c>
      <c r="L4" s="1" t="s">
        <v>124</v>
      </c>
      <c r="M4" s="1" t="s">
        <v>125</v>
      </c>
      <c r="N4" s="1" t="s">
        <v>126</v>
      </c>
    </row>
    <row r="5" spans="1:14" ht="22" customHeight="1" x14ac:dyDescent="0.2">
      <c r="A5" s="2" t="s">
        <v>50</v>
      </c>
      <c r="B5" s="2" t="s">
        <v>127</v>
      </c>
      <c r="C5" s="2" t="s">
        <v>128</v>
      </c>
      <c r="D5" s="2" t="s">
        <v>129</v>
      </c>
      <c r="E5" s="2" t="s">
        <v>130</v>
      </c>
      <c r="F5" s="3" t="s">
        <v>131</v>
      </c>
      <c r="G5" s="2" t="s">
        <v>132</v>
      </c>
      <c r="H5" s="3" t="s">
        <v>96</v>
      </c>
      <c r="I5" s="3" t="s">
        <v>133</v>
      </c>
      <c r="J5" s="3" t="s">
        <v>108</v>
      </c>
      <c r="K5" s="3" t="s">
        <v>134</v>
      </c>
      <c r="L5" s="2" t="s">
        <v>55</v>
      </c>
      <c r="M5" s="3" t="s">
        <v>135</v>
      </c>
      <c r="N5" s="3" t="s">
        <v>60</v>
      </c>
    </row>
    <row r="6" spans="1:14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8" customHeight="1" x14ac:dyDescent="0.2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8" customHeight="1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8" customHeight="1" x14ac:dyDescent="0.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8" customHeight="1" x14ac:dyDescent="0.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8" customHeight="1" x14ac:dyDescent="0.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8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8" customHeight="1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8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8" customHeight="1" x14ac:dyDescent="0.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8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8" customHeight="1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8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8" customHeight="1" x14ac:dyDescent="0.2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8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8" customHeight="1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8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8" customHeight="1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18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8" customHeight="1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18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8" customHeight="1" x14ac:dyDescent="0.2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8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8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18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8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8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8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ht="18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8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18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8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ht="18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8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ht="18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8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ht="18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8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ht="18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8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8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8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8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8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8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8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8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8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8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8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8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8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8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8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8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8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8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8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8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8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8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8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8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8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8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8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8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8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8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8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8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8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8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8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8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8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8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8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8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8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8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8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8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8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8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8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8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8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8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8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">
      <c r="G100" s="5"/>
    </row>
    <row r="101" spans="1:14" x14ac:dyDescent="0.2">
      <c r="G101" s="5"/>
    </row>
    <row r="102" spans="1:14" x14ac:dyDescent="0.2">
      <c r="G102" s="5"/>
    </row>
    <row r="103" spans="1:14" x14ac:dyDescent="0.2">
      <c r="G103" s="5"/>
    </row>
    <row r="104" spans="1:14" x14ac:dyDescent="0.2">
      <c r="G104" s="5"/>
    </row>
    <row r="105" spans="1:14" x14ac:dyDescent="0.2">
      <c r="G105" s="5"/>
    </row>
    <row r="106" spans="1:14" x14ac:dyDescent="0.2">
      <c r="G106" s="5"/>
    </row>
    <row r="107" spans="1:14" x14ac:dyDescent="0.2">
      <c r="G107" s="5"/>
    </row>
    <row r="108" spans="1:14" x14ac:dyDescent="0.2">
      <c r="G108" s="5"/>
    </row>
    <row r="109" spans="1:14" x14ac:dyDescent="0.2">
      <c r="G109" s="5"/>
    </row>
    <row r="110" spans="1:14" x14ac:dyDescent="0.2">
      <c r="G110" s="5"/>
    </row>
    <row r="111" spans="1:14" x14ac:dyDescent="0.2">
      <c r="G111" s="5"/>
    </row>
    <row r="112" spans="1:14" x14ac:dyDescent="0.2">
      <c r="G112" s="5"/>
    </row>
    <row r="113" spans="7:7" x14ac:dyDescent="0.2">
      <c r="G113" s="5"/>
    </row>
    <row r="114" spans="7:7" x14ac:dyDescent="0.2">
      <c r="G114" s="5"/>
    </row>
    <row r="115" spans="7:7" x14ac:dyDescent="0.2">
      <c r="G115" s="5"/>
    </row>
    <row r="116" spans="7:7" x14ac:dyDescent="0.2">
      <c r="G116" s="5"/>
    </row>
    <row r="117" spans="7:7" x14ac:dyDescent="0.2">
      <c r="G117" s="5"/>
    </row>
    <row r="118" spans="7:7" x14ac:dyDescent="0.2">
      <c r="G118" s="5"/>
    </row>
    <row r="119" spans="7:7" x14ac:dyDescent="0.2">
      <c r="G119" s="5"/>
    </row>
    <row r="120" spans="7:7" x14ac:dyDescent="0.2">
      <c r="G120" s="5"/>
    </row>
    <row r="121" spans="7:7" x14ac:dyDescent="0.2">
      <c r="G121" s="5"/>
    </row>
    <row r="122" spans="7:7" x14ac:dyDescent="0.2">
      <c r="G122" s="5"/>
    </row>
    <row r="123" spans="7:7" x14ac:dyDescent="0.2">
      <c r="G123" s="5"/>
    </row>
    <row r="124" spans="7:7" x14ac:dyDescent="0.2">
      <c r="G124" s="5"/>
    </row>
    <row r="125" spans="7:7" x14ac:dyDescent="0.2">
      <c r="G125" s="5"/>
    </row>
    <row r="126" spans="7:7" x14ac:dyDescent="0.2">
      <c r="G126" s="5"/>
    </row>
    <row r="127" spans="7:7" x14ac:dyDescent="0.2">
      <c r="G127" s="5"/>
    </row>
    <row r="128" spans="7:7" x14ac:dyDescent="0.2">
      <c r="G128" s="5"/>
    </row>
    <row r="129" spans="7:7" x14ac:dyDescent="0.2">
      <c r="G129" s="5"/>
    </row>
    <row r="130" spans="7:7" x14ac:dyDescent="0.2">
      <c r="G130" s="5"/>
    </row>
    <row r="131" spans="7:7" x14ac:dyDescent="0.2">
      <c r="G131" s="5"/>
    </row>
    <row r="132" spans="7:7" x14ac:dyDescent="0.2">
      <c r="G132" s="5"/>
    </row>
    <row r="133" spans="7:7" x14ac:dyDescent="0.2">
      <c r="G133" s="5"/>
    </row>
    <row r="134" spans="7:7" x14ac:dyDescent="0.2">
      <c r="G134" s="5"/>
    </row>
    <row r="135" spans="7:7" x14ac:dyDescent="0.2">
      <c r="G135" s="5"/>
    </row>
    <row r="136" spans="7:7" x14ac:dyDescent="0.2">
      <c r="G136" s="5"/>
    </row>
    <row r="137" spans="7:7" x14ac:dyDescent="0.2">
      <c r="G137" s="5"/>
    </row>
    <row r="138" spans="7:7" x14ac:dyDescent="0.2">
      <c r="G138" s="5"/>
    </row>
    <row r="139" spans="7:7" x14ac:dyDescent="0.2">
      <c r="G139" s="5"/>
    </row>
    <row r="140" spans="7:7" x14ac:dyDescent="0.2">
      <c r="G140" s="5"/>
    </row>
    <row r="141" spans="7:7" x14ac:dyDescent="0.2">
      <c r="G141" s="5"/>
    </row>
    <row r="142" spans="7:7" x14ac:dyDescent="0.2">
      <c r="G142" s="5"/>
    </row>
    <row r="143" spans="7:7" x14ac:dyDescent="0.2">
      <c r="G143" s="5"/>
    </row>
    <row r="144" spans="7:7" x14ac:dyDescent="0.2">
      <c r="G144" s="5"/>
    </row>
    <row r="145" spans="7:7" x14ac:dyDescent="0.2">
      <c r="G145" s="5"/>
    </row>
    <row r="146" spans="7:7" x14ac:dyDescent="0.2">
      <c r="G146" s="5"/>
    </row>
    <row r="147" spans="7:7" x14ac:dyDescent="0.2">
      <c r="G147" s="5"/>
    </row>
    <row r="148" spans="7:7" x14ac:dyDescent="0.2">
      <c r="G148" s="5"/>
    </row>
    <row r="149" spans="7:7" x14ac:dyDescent="0.2">
      <c r="G149" s="5"/>
    </row>
    <row r="150" spans="7:7" x14ac:dyDescent="0.2">
      <c r="G150" s="5"/>
    </row>
    <row r="151" spans="7:7" x14ac:dyDescent="0.2">
      <c r="G151" s="5"/>
    </row>
    <row r="152" spans="7:7" x14ac:dyDescent="0.2">
      <c r="G152" s="5"/>
    </row>
    <row r="153" spans="7:7" x14ac:dyDescent="0.2">
      <c r="G153" s="5"/>
    </row>
    <row r="154" spans="7:7" x14ac:dyDescent="0.2">
      <c r="G154" s="5"/>
    </row>
    <row r="155" spans="7:7" x14ac:dyDescent="0.2">
      <c r="G155" s="5"/>
    </row>
    <row r="156" spans="7:7" x14ac:dyDescent="0.2">
      <c r="G156" s="5"/>
    </row>
    <row r="157" spans="7:7" x14ac:dyDescent="0.2">
      <c r="G157" s="5"/>
    </row>
    <row r="158" spans="7:7" x14ac:dyDescent="0.2">
      <c r="G158" s="5"/>
    </row>
    <row r="159" spans="7:7" x14ac:dyDescent="0.2">
      <c r="G159" s="5"/>
    </row>
    <row r="160" spans="7:7" x14ac:dyDescent="0.2">
      <c r="G160" s="5"/>
    </row>
    <row r="161" spans="7:7" x14ac:dyDescent="0.2">
      <c r="G161" s="5"/>
    </row>
    <row r="162" spans="7:7" x14ac:dyDescent="0.2">
      <c r="G162" s="5"/>
    </row>
    <row r="163" spans="7:7" x14ac:dyDescent="0.2">
      <c r="G163" s="5"/>
    </row>
    <row r="164" spans="7:7" x14ac:dyDescent="0.2">
      <c r="G164" s="5"/>
    </row>
    <row r="165" spans="7:7" x14ac:dyDescent="0.2">
      <c r="G165" s="5"/>
    </row>
    <row r="166" spans="7:7" x14ac:dyDescent="0.2">
      <c r="G166" s="5"/>
    </row>
    <row r="167" spans="7:7" x14ac:dyDescent="0.2">
      <c r="G167" s="5"/>
    </row>
    <row r="168" spans="7:7" x14ac:dyDescent="0.2">
      <c r="G168" s="5"/>
    </row>
    <row r="169" spans="7:7" x14ac:dyDescent="0.2">
      <c r="G169" s="5"/>
    </row>
    <row r="170" spans="7:7" x14ac:dyDescent="0.2">
      <c r="G170" s="5"/>
    </row>
    <row r="171" spans="7:7" x14ac:dyDescent="0.2">
      <c r="G171" s="5"/>
    </row>
    <row r="172" spans="7:7" x14ac:dyDescent="0.2">
      <c r="G172" s="5"/>
    </row>
    <row r="173" spans="7:7" x14ac:dyDescent="0.2">
      <c r="G173" s="5"/>
    </row>
    <row r="174" spans="7:7" x14ac:dyDescent="0.2">
      <c r="G174" s="5"/>
    </row>
    <row r="175" spans="7:7" x14ac:dyDescent="0.2">
      <c r="G175" s="5"/>
    </row>
    <row r="176" spans="7:7" x14ac:dyDescent="0.2">
      <c r="G176" s="5"/>
    </row>
    <row r="177" spans="7:7" x14ac:dyDescent="0.2">
      <c r="G177" s="5"/>
    </row>
    <row r="178" spans="7:7" x14ac:dyDescent="0.2">
      <c r="G178" s="5"/>
    </row>
    <row r="179" spans="7:7" x14ac:dyDescent="0.2">
      <c r="G179" s="5"/>
    </row>
    <row r="180" spans="7:7" x14ac:dyDescent="0.2">
      <c r="G180" s="5"/>
    </row>
    <row r="181" spans="7:7" x14ac:dyDescent="0.2">
      <c r="G181" s="5"/>
    </row>
    <row r="182" spans="7:7" x14ac:dyDescent="0.2">
      <c r="G182" s="5"/>
    </row>
    <row r="183" spans="7:7" x14ac:dyDescent="0.2">
      <c r="G183" s="5"/>
    </row>
    <row r="184" spans="7:7" x14ac:dyDescent="0.2">
      <c r="G184" s="5"/>
    </row>
    <row r="185" spans="7:7" x14ac:dyDescent="0.2">
      <c r="G185" s="5"/>
    </row>
    <row r="186" spans="7:7" x14ac:dyDescent="0.2">
      <c r="G186" s="5"/>
    </row>
    <row r="187" spans="7:7" x14ac:dyDescent="0.2">
      <c r="G187" s="5"/>
    </row>
    <row r="188" spans="7:7" x14ac:dyDescent="0.2">
      <c r="G188" s="5"/>
    </row>
    <row r="189" spans="7:7" x14ac:dyDescent="0.2">
      <c r="G189" s="5"/>
    </row>
    <row r="190" spans="7:7" x14ac:dyDescent="0.2">
      <c r="G190" s="5"/>
    </row>
    <row r="191" spans="7:7" x14ac:dyDescent="0.2">
      <c r="G191" s="5"/>
    </row>
    <row r="192" spans="7:7" x14ac:dyDescent="0.2">
      <c r="G192" s="5"/>
    </row>
    <row r="193" spans="7:7" x14ac:dyDescent="0.2">
      <c r="G193" s="5"/>
    </row>
    <row r="194" spans="7:7" x14ac:dyDescent="0.2">
      <c r="G194" s="5"/>
    </row>
    <row r="195" spans="7:7" x14ac:dyDescent="0.2">
      <c r="G195" s="5"/>
    </row>
    <row r="196" spans="7:7" x14ac:dyDescent="0.2">
      <c r="G196" s="5"/>
    </row>
    <row r="197" spans="7:7" x14ac:dyDescent="0.2">
      <c r="G197" s="5"/>
    </row>
    <row r="198" spans="7:7" x14ac:dyDescent="0.2">
      <c r="G198" s="5"/>
    </row>
    <row r="199" spans="7:7" x14ac:dyDescent="0.2">
      <c r="G199" s="5"/>
    </row>
    <row r="200" spans="7:7" x14ac:dyDescent="0.2">
      <c r="G200" s="5"/>
    </row>
    <row r="201" spans="7:7" x14ac:dyDescent="0.2">
      <c r="G201" s="5"/>
    </row>
    <row r="202" spans="7:7" x14ac:dyDescent="0.2">
      <c r="G202" s="5"/>
    </row>
    <row r="203" spans="7:7" x14ac:dyDescent="0.2">
      <c r="G203" s="5"/>
    </row>
    <row r="204" spans="7:7" x14ac:dyDescent="0.2">
      <c r="G204" s="5"/>
    </row>
    <row r="205" spans="7:7" x14ac:dyDescent="0.2">
      <c r="G205" s="5"/>
    </row>
    <row r="206" spans="7:7" x14ac:dyDescent="0.2">
      <c r="G206" s="5"/>
    </row>
    <row r="207" spans="7:7" x14ac:dyDescent="0.2">
      <c r="G207" s="5"/>
    </row>
    <row r="208" spans="7:7" x14ac:dyDescent="0.2">
      <c r="G208" s="5"/>
    </row>
    <row r="209" spans="7:7" x14ac:dyDescent="0.2">
      <c r="G209" s="5"/>
    </row>
    <row r="210" spans="7:7" x14ac:dyDescent="0.2">
      <c r="G210" s="5"/>
    </row>
    <row r="211" spans="7:7" x14ac:dyDescent="0.2">
      <c r="G211" s="5"/>
    </row>
    <row r="212" spans="7:7" x14ac:dyDescent="0.2">
      <c r="G212" s="5"/>
    </row>
    <row r="213" spans="7:7" x14ac:dyDescent="0.2">
      <c r="G213" s="5"/>
    </row>
    <row r="214" spans="7:7" x14ac:dyDescent="0.2">
      <c r="G214" s="5"/>
    </row>
    <row r="215" spans="7:7" x14ac:dyDescent="0.2">
      <c r="G215" s="5"/>
    </row>
    <row r="216" spans="7:7" x14ac:dyDescent="0.2">
      <c r="G216" s="5"/>
    </row>
    <row r="217" spans="7:7" x14ac:dyDescent="0.2">
      <c r="G217" s="5"/>
    </row>
    <row r="218" spans="7:7" x14ac:dyDescent="0.2">
      <c r="G218" s="5"/>
    </row>
    <row r="219" spans="7:7" x14ac:dyDescent="0.2">
      <c r="G219" s="5"/>
    </row>
    <row r="220" spans="7:7" x14ac:dyDescent="0.2">
      <c r="G220" s="5"/>
    </row>
    <row r="221" spans="7:7" x14ac:dyDescent="0.2">
      <c r="G221" s="5"/>
    </row>
    <row r="222" spans="7:7" x14ac:dyDescent="0.2">
      <c r="G222" s="5"/>
    </row>
    <row r="223" spans="7:7" x14ac:dyDescent="0.2">
      <c r="G223" s="5"/>
    </row>
    <row r="224" spans="7:7" x14ac:dyDescent="0.2">
      <c r="G224" s="5"/>
    </row>
    <row r="225" spans="7:7" x14ac:dyDescent="0.2">
      <c r="G225" s="5"/>
    </row>
    <row r="226" spans="7:7" x14ac:dyDescent="0.2">
      <c r="G226" s="5"/>
    </row>
    <row r="227" spans="7:7" x14ac:dyDescent="0.2">
      <c r="G227" s="5"/>
    </row>
    <row r="228" spans="7:7" x14ac:dyDescent="0.2">
      <c r="G228" s="5"/>
    </row>
    <row r="229" spans="7:7" x14ac:dyDescent="0.2">
      <c r="G229" s="5"/>
    </row>
    <row r="230" spans="7:7" x14ac:dyDescent="0.2">
      <c r="G230" s="5"/>
    </row>
    <row r="231" spans="7:7" x14ac:dyDescent="0.2">
      <c r="G231" s="5"/>
    </row>
    <row r="232" spans="7:7" x14ac:dyDescent="0.2">
      <c r="G232" s="5"/>
    </row>
    <row r="233" spans="7:7" x14ac:dyDescent="0.2">
      <c r="G233" s="5"/>
    </row>
    <row r="234" spans="7:7" x14ac:dyDescent="0.2">
      <c r="G234" s="5"/>
    </row>
    <row r="235" spans="7:7" x14ac:dyDescent="0.2">
      <c r="G235" s="5"/>
    </row>
    <row r="236" spans="7:7" x14ac:dyDescent="0.2">
      <c r="G236" s="5"/>
    </row>
    <row r="237" spans="7:7" x14ac:dyDescent="0.2">
      <c r="G237" s="5"/>
    </row>
    <row r="238" spans="7:7" x14ac:dyDescent="0.2">
      <c r="G238" s="5"/>
    </row>
    <row r="239" spans="7:7" x14ac:dyDescent="0.2">
      <c r="G239" s="5"/>
    </row>
    <row r="240" spans="7:7" x14ac:dyDescent="0.2">
      <c r="G240" s="5"/>
    </row>
    <row r="241" spans="7:7" x14ac:dyDescent="0.2">
      <c r="G241" s="5"/>
    </row>
    <row r="242" spans="7:7" x14ac:dyDescent="0.2">
      <c r="G242" s="5"/>
    </row>
    <row r="243" spans="7:7" x14ac:dyDescent="0.2">
      <c r="G243" s="5"/>
    </row>
  </sheetData>
  <mergeCells count="3">
    <mergeCell ref="A3:N3"/>
    <mergeCell ref="A2:N2"/>
    <mergeCell ref="A1:N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ED091CC-0E50-824B-A3C3-E34DEBAA769D}">
          <x14:formula1>
            <xm:f>'11. Master Lists (Ref)'!$W$3:$W$41</xm:f>
          </x14:formula1>
          <xm:sqref>G6:G243</xm:sqref>
        </x14:dataValidation>
        <x14:dataValidation type="list" allowBlank="1" showInputMessage="1" showErrorMessage="1" xr:uid="{949BE3F0-B810-DC49-B518-B1E3E60B2737}">
          <x14:formula1>
            <xm:f>'2. Employees'!$A$6:$A$100</xm:f>
          </x14:formula1>
          <xm:sqref>I6:I99</xm:sqref>
        </x14:dataValidation>
        <x14:dataValidation type="list" allowBlank="1" showInputMessage="1" showErrorMessage="1" xr:uid="{19F4FF1C-BFBF-0C44-83D2-BA304CCF68B7}">
          <x14:formula1>
            <xm:f>'11. Master Lists (Ref)'!$K$3:$K$12</xm:f>
          </x14:formula1>
          <xm:sqref>L6:L53</xm:sqref>
        </x14:dataValidation>
        <x14:dataValidation type="list" allowBlank="1" showInputMessage="1" showErrorMessage="1" xr:uid="{35F92FFF-1729-3744-BCE5-01103AE073B2}">
          <x14:formula1>
            <xm:f>'1. Vehicles'!$A$6:$A$136</xm:f>
          </x14:formula1>
          <xm:sqref>A6:A320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zoomScale="162" workbookViewId="0">
      <pane xSplit="1" ySplit="5" topLeftCell="B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5" x14ac:dyDescent="0.2"/>
  <cols>
    <col min="1" max="2" width="14" customWidth="1"/>
    <col min="3" max="3" width="22" customWidth="1"/>
    <col min="4" max="4" width="24" customWidth="1"/>
    <col min="5" max="5" width="18" customWidth="1"/>
    <col min="6" max="6" width="14" customWidth="1"/>
    <col min="7" max="7" width="18" customWidth="1"/>
    <col min="8" max="8" width="16" customWidth="1"/>
    <col min="9" max="9" width="18" customWidth="1"/>
    <col min="10" max="10" width="28" customWidth="1"/>
    <col min="11" max="11" width="17.33203125" customWidth="1"/>
    <col min="12" max="12" width="30" customWidth="1"/>
  </cols>
  <sheetData>
    <row r="1" spans="1:12" ht="32" customHeight="1" x14ac:dyDescent="0.2">
      <c r="A1" s="18" t="s">
        <v>136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90" customHeight="1" x14ac:dyDescent="0.2">
      <c r="A3" s="20" t="s">
        <v>137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8" customHeight="1" x14ac:dyDescent="0.2">
      <c r="A4" s="1" t="s">
        <v>35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</row>
    <row r="5" spans="1:12" ht="22" customHeight="1" x14ac:dyDescent="0.2">
      <c r="A5" s="2" t="s">
        <v>50</v>
      </c>
      <c r="B5" s="2" t="s">
        <v>149</v>
      </c>
      <c r="C5" s="2" t="s">
        <v>150</v>
      </c>
      <c r="D5" s="2" t="s">
        <v>151</v>
      </c>
      <c r="E5" s="3" t="s">
        <v>152</v>
      </c>
      <c r="F5" s="2" t="s">
        <v>153</v>
      </c>
      <c r="G5" s="3" t="s">
        <v>154</v>
      </c>
      <c r="H5" s="3" t="s">
        <v>155</v>
      </c>
      <c r="I5" s="3" t="s">
        <v>156</v>
      </c>
      <c r="J5" s="3" t="s">
        <v>157</v>
      </c>
      <c r="K5" s="2" t="s">
        <v>55</v>
      </c>
      <c r="L5" s="3" t="s">
        <v>60</v>
      </c>
    </row>
    <row r="6" spans="1:12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8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8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8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8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</sheetData>
  <mergeCells count="3">
    <mergeCell ref="A3:L3"/>
    <mergeCell ref="A2:L2"/>
    <mergeCell ref="A1:L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56299A-B200-2E46-BD40-C3CA918E80CC}">
          <x14:formula1>
            <xm:f>'11. Master Lists (Ref)'!$M$3:$M$99</xm:f>
          </x14:formula1>
          <xm:sqref>C6:C100</xm:sqref>
        </x14:dataValidation>
        <x14:dataValidation type="list" allowBlank="1" showInputMessage="1" showErrorMessage="1" xr:uid="{9D2FD194-350A-2C49-A371-C3D45897830A}">
          <x14:formula1>
            <xm:f>'9. Garages'!$A$6:$A$40</xm:f>
          </x14:formula1>
          <xm:sqref>D6:D100</xm:sqref>
        </x14:dataValidation>
        <x14:dataValidation type="list" allowBlank="1" showInputMessage="1" showErrorMessage="1" xr:uid="{F57C20FF-DA74-C243-97E0-F67B67DB14E0}">
          <x14:formula1>
            <xm:f>'1. Vehicles'!$A$6:$A$99</xm:f>
          </x14:formula1>
          <xm:sqref>A6:A100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4"/>
  <sheetViews>
    <sheetView zoomScale="176" workbookViewId="0">
      <pane xSplit="1" ySplit="5" topLeftCell="B6" activePane="bottomRight" state="frozen"/>
      <selection pane="topRight"/>
      <selection pane="bottomLeft"/>
      <selection pane="bottomRight" activeCell="A6" sqref="A6:A15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16" customWidth="1"/>
    <col min="5" max="5" width="14" customWidth="1"/>
    <col min="6" max="6" width="24" customWidth="1"/>
    <col min="7" max="7" width="18" customWidth="1"/>
    <col min="8" max="8" width="32" customWidth="1"/>
    <col min="9" max="9" width="14" customWidth="1"/>
    <col min="10" max="12" width="16" customWidth="1"/>
    <col min="13" max="13" width="14" customWidth="1"/>
  </cols>
  <sheetData>
    <row r="1" spans="1:13" ht="32" customHeight="1" x14ac:dyDescent="0.2">
      <c r="A1" s="18" t="s">
        <v>158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72" customHeight="1" x14ac:dyDescent="0.2">
      <c r="A3" s="20" t="s">
        <v>159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8" customHeight="1" x14ac:dyDescent="0.2">
      <c r="A4" s="1" t="s">
        <v>35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140</v>
      </c>
      <c r="G4" s="1" t="s">
        <v>164</v>
      </c>
      <c r="H4" s="1" t="s">
        <v>165</v>
      </c>
      <c r="I4" s="1" t="s">
        <v>166</v>
      </c>
      <c r="J4" s="1" t="s">
        <v>167</v>
      </c>
      <c r="K4" s="1" t="s">
        <v>168</v>
      </c>
      <c r="L4" s="1" t="s">
        <v>169</v>
      </c>
      <c r="M4" s="1" t="s">
        <v>170</v>
      </c>
    </row>
    <row r="5" spans="1:13" ht="22" customHeight="1" x14ac:dyDescent="0.2">
      <c r="A5" s="2" t="s">
        <v>50</v>
      </c>
      <c r="B5" s="2" t="s">
        <v>171</v>
      </c>
      <c r="C5" s="2" t="s">
        <v>172</v>
      </c>
      <c r="D5" s="3" t="s">
        <v>173</v>
      </c>
      <c r="E5" s="3" t="s">
        <v>174</v>
      </c>
      <c r="F5" s="3" t="s">
        <v>175</v>
      </c>
      <c r="G5" s="3" t="s">
        <v>176</v>
      </c>
      <c r="H5" s="3" t="s">
        <v>177</v>
      </c>
      <c r="I5" s="3" t="s">
        <v>178</v>
      </c>
      <c r="J5" s="3" t="s">
        <v>179</v>
      </c>
      <c r="K5" s="3" t="s">
        <v>180</v>
      </c>
      <c r="L5" s="3" t="s">
        <v>181</v>
      </c>
      <c r="M5" s="3" t="s">
        <v>99</v>
      </c>
    </row>
    <row r="6" spans="1:13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8" customHeight="1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8" customHeight="1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 customHeight="1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 customHeight="1" x14ac:dyDescent="0.2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8" customHeight="1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</sheetData>
  <mergeCells count="3">
    <mergeCell ref="A3:M3"/>
    <mergeCell ref="A2:M2"/>
    <mergeCell ref="A1:M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5AB3ED-4F18-7B48-AECB-1C72EE2ED0BC}">
          <x14:formula1>
            <xm:f>'1. Vehicles'!$A$6:$A$99</xm:f>
          </x14:formula1>
          <xm:sqref>A6:A154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zoomScale="193" workbookViewId="0">
      <pane xSplit="1" ySplit="5" topLeftCell="B6" activePane="bottomRight" state="frozen"/>
      <selection pane="topRight"/>
      <selection pane="bottomLeft"/>
      <selection pane="bottomRight" activeCell="H13" sqref="H13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6" width="14" customWidth="1"/>
    <col min="7" max="7" width="12" customWidth="1"/>
    <col min="8" max="9" width="14" customWidth="1"/>
    <col min="10" max="10" width="28" customWidth="1"/>
  </cols>
  <sheetData>
    <row r="1" spans="1:10" ht="32" customHeight="1" x14ac:dyDescent="0.2">
      <c r="A1" s="18" t="s">
        <v>182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72" customHeight="1" x14ac:dyDescent="0.2">
      <c r="A3" s="20" t="s">
        <v>183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18" customHeight="1" x14ac:dyDescent="0.2">
      <c r="A4" s="1" t="s">
        <v>35</v>
      </c>
      <c r="B4" s="1" t="s">
        <v>184</v>
      </c>
      <c r="C4" s="1" t="s">
        <v>185</v>
      </c>
      <c r="D4" s="1" t="s">
        <v>186</v>
      </c>
      <c r="E4" s="1" t="s">
        <v>187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</row>
    <row r="5" spans="1:10" ht="22" customHeight="1" x14ac:dyDescent="0.2">
      <c r="A5" s="2" t="s">
        <v>50</v>
      </c>
      <c r="B5" s="2" t="s">
        <v>193</v>
      </c>
      <c r="C5" s="3" t="s">
        <v>194</v>
      </c>
      <c r="D5" s="3" t="s">
        <v>195</v>
      </c>
      <c r="E5" s="3" t="s">
        <v>196</v>
      </c>
      <c r="F5" s="3" t="s">
        <v>197</v>
      </c>
      <c r="G5" s="3" t="s">
        <v>198</v>
      </c>
      <c r="H5" s="2" t="s">
        <v>55</v>
      </c>
      <c r="I5" s="3" t="s">
        <v>199</v>
      </c>
      <c r="J5" s="3" t="s">
        <v>60</v>
      </c>
    </row>
    <row r="6" spans="1:10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8" customHeight="1" x14ac:dyDescent="0.2">
      <c r="A7" s="4"/>
      <c r="B7" s="4"/>
      <c r="C7" s="5"/>
      <c r="D7" s="5"/>
      <c r="E7" s="5"/>
      <c r="F7" s="5"/>
      <c r="G7" s="5"/>
      <c r="H7" s="4"/>
      <c r="I7" s="5"/>
      <c r="J7" s="5"/>
    </row>
    <row r="8" spans="1:10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8" customHeight="1" x14ac:dyDescent="0.2">
      <c r="A9" s="4"/>
      <c r="B9" s="4"/>
      <c r="C9" s="5"/>
      <c r="D9" s="5"/>
      <c r="E9" s="5"/>
      <c r="F9" s="5"/>
      <c r="G9" s="5"/>
      <c r="H9" s="4"/>
      <c r="I9" s="5"/>
      <c r="J9" s="5"/>
    </row>
    <row r="10" spans="1:10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8" customHeight="1" x14ac:dyDescent="0.2">
      <c r="A11" s="4"/>
      <c r="B11" s="4"/>
      <c r="C11" s="5"/>
      <c r="D11" s="5"/>
      <c r="E11" s="5"/>
      <c r="F11" s="5"/>
      <c r="G11" s="5"/>
      <c r="H11" s="4"/>
      <c r="I11" s="5"/>
      <c r="J11" s="5"/>
    </row>
    <row r="12" spans="1:10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8" customHeight="1" x14ac:dyDescent="0.2">
      <c r="A13" s="4"/>
      <c r="B13" s="4"/>
      <c r="C13" s="5"/>
      <c r="D13" s="5"/>
      <c r="E13" s="5"/>
      <c r="F13" s="5"/>
      <c r="G13" s="5"/>
      <c r="H13" s="4"/>
      <c r="I13" s="5"/>
      <c r="J13" s="5"/>
    </row>
    <row r="14" spans="1:10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</sheetData>
  <mergeCells count="3">
    <mergeCell ref="A1:J1"/>
    <mergeCell ref="A3:J3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DDA403-ABE0-1A44-BB82-4A744F0FE5AA}">
          <x14:formula1>
            <xm:f>'11. Master Lists (Ref)'!$S$3:$S$22</xm:f>
          </x14:formula1>
          <xm:sqref>B6:B14</xm:sqref>
        </x14:dataValidation>
        <x14:dataValidation type="list" allowBlank="1" showInputMessage="1" showErrorMessage="1" xr:uid="{96B35A1F-8C36-7A4D-A026-E376630917FE}">
          <x14:formula1>
            <xm:f>'11. Master Lists (Ref)'!$U$3:$U$22</xm:f>
          </x14:formula1>
          <xm:sqref>H6:H14</xm:sqref>
        </x14:dataValidation>
        <x14:dataValidation type="list" allowBlank="1" showInputMessage="1" showErrorMessage="1" xr:uid="{A0C97759-D060-344C-8925-E397429BB8C4}">
          <x14:formula1>
            <xm:f>'1. Vehicles'!$A$6:$A$99</xm:f>
          </x14:formula1>
          <xm:sqref>A6:A14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zoomScale="179" workbookViewId="0">
      <pane xSplit="1" ySplit="5" topLeftCell="B6" activePane="bottomRight" state="frozen"/>
      <selection pane="topRight"/>
      <selection pane="bottomLeft"/>
      <selection pane="bottomRight" activeCell="F21" sqref="F21"/>
    </sheetView>
  </sheetViews>
  <sheetFormatPr baseColWidth="10" defaultColWidth="8.83203125" defaultRowHeight="15" x14ac:dyDescent="0.2"/>
  <cols>
    <col min="1" max="2" width="28" customWidth="1"/>
    <col min="3" max="3" width="14" customWidth="1"/>
    <col min="4" max="4" width="22" customWidth="1"/>
    <col min="5" max="5" width="16" customWidth="1"/>
    <col min="6" max="6" width="26" customWidth="1"/>
    <col min="7" max="7" width="24" customWidth="1"/>
    <col min="8" max="8" width="12" customWidth="1"/>
    <col min="9" max="9" width="28" customWidth="1"/>
  </cols>
  <sheetData>
    <row r="1" spans="1:9" ht="32" customHeight="1" x14ac:dyDescent="0.2">
      <c r="A1" s="18" t="s">
        <v>200</v>
      </c>
      <c r="B1" s="19"/>
      <c r="C1" s="19"/>
      <c r="D1" s="19"/>
      <c r="E1" s="19"/>
      <c r="F1" s="19"/>
      <c r="G1" s="19"/>
      <c r="H1" s="19"/>
      <c r="I1" s="19"/>
    </row>
    <row r="2" spans="1:9" ht="28" customHeight="1" x14ac:dyDescent="0.2">
      <c r="A2" s="21" t="s">
        <v>33</v>
      </c>
      <c r="B2" s="19"/>
      <c r="C2" s="19"/>
      <c r="D2" s="19"/>
      <c r="E2" s="19"/>
      <c r="F2" s="19"/>
      <c r="G2" s="19"/>
      <c r="H2" s="19"/>
      <c r="I2" s="19"/>
    </row>
    <row r="3" spans="1:9" ht="36" customHeight="1" x14ac:dyDescent="0.2">
      <c r="A3" s="20" t="s">
        <v>201</v>
      </c>
      <c r="B3" s="19"/>
      <c r="C3" s="19"/>
      <c r="D3" s="19"/>
      <c r="E3" s="19"/>
      <c r="F3" s="19"/>
      <c r="G3" s="19"/>
      <c r="H3" s="19"/>
      <c r="I3" s="19"/>
    </row>
    <row r="4" spans="1:9" ht="18" customHeight="1" x14ac:dyDescent="0.2">
      <c r="A4" s="1" t="s">
        <v>140</v>
      </c>
      <c r="B4" s="1" t="s">
        <v>202</v>
      </c>
      <c r="C4" s="1" t="s">
        <v>45</v>
      </c>
      <c r="D4" s="1" t="s">
        <v>203</v>
      </c>
      <c r="E4" s="1" t="s">
        <v>204</v>
      </c>
      <c r="F4" s="1" t="s">
        <v>205</v>
      </c>
      <c r="G4" s="1" t="s">
        <v>206</v>
      </c>
      <c r="H4" s="1" t="s">
        <v>166</v>
      </c>
      <c r="I4" s="1" t="s">
        <v>207</v>
      </c>
    </row>
    <row r="5" spans="1:9" ht="22" customHeight="1" x14ac:dyDescent="0.2">
      <c r="A5" s="2" t="s">
        <v>208</v>
      </c>
      <c r="B5" s="3" t="s">
        <v>209</v>
      </c>
      <c r="C5" s="3" t="s">
        <v>210</v>
      </c>
      <c r="D5" s="3" t="s">
        <v>211</v>
      </c>
      <c r="E5" s="3" t="s">
        <v>77</v>
      </c>
      <c r="F5" s="3" t="s">
        <v>78</v>
      </c>
      <c r="G5" s="3" t="s">
        <v>212</v>
      </c>
      <c r="H5" s="3" t="s">
        <v>213</v>
      </c>
      <c r="I5" s="3" t="s">
        <v>60</v>
      </c>
    </row>
    <row r="6" spans="1:9" ht="18" customHeight="1" x14ac:dyDescent="0.2">
      <c r="A6" s="4" t="s">
        <v>423</v>
      </c>
      <c r="B6" s="4"/>
      <c r="C6" s="4"/>
      <c r="D6" s="4"/>
      <c r="E6" s="4"/>
      <c r="F6" s="4"/>
      <c r="G6" s="4"/>
      <c r="H6" s="4"/>
      <c r="I6" s="4"/>
    </row>
    <row r="7" spans="1:9" ht="18" customHeight="1" x14ac:dyDescent="0.2">
      <c r="A7" s="5" t="s">
        <v>424</v>
      </c>
      <c r="B7" s="5"/>
      <c r="C7" s="5"/>
      <c r="D7" s="5"/>
      <c r="E7" s="5"/>
      <c r="F7" s="5"/>
      <c r="G7" s="5"/>
      <c r="H7" s="5"/>
      <c r="I7" s="5"/>
    </row>
    <row r="8" spans="1:9" ht="18" customHeight="1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8" customHeight="1" x14ac:dyDescent="0.2">
      <c r="A9" s="5"/>
      <c r="B9" s="5"/>
      <c r="C9" s="5"/>
      <c r="D9" s="5"/>
      <c r="E9" s="5"/>
      <c r="F9" s="5"/>
      <c r="G9" s="5"/>
      <c r="H9" s="5"/>
      <c r="I9" s="5"/>
    </row>
    <row r="10" spans="1:9" ht="18" customHeight="1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8" customHeight="1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9" ht="18" customHeight="1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8" customHeight="1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9" ht="18" customHeight="1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8" customHeight="1" x14ac:dyDescent="0.2">
      <c r="A15" s="5"/>
      <c r="B15" s="5"/>
      <c r="C15" s="5"/>
      <c r="D15" s="5"/>
      <c r="E15" s="5"/>
      <c r="F15" s="5"/>
      <c r="G15" s="5"/>
      <c r="H15" s="5"/>
      <c r="I15" s="5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zoomScale="209" workbookViewId="0">
      <pane xSplit="1" ySplit="5" topLeftCell="B17" activePane="bottomRight" state="frozen"/>
      <selection pane="topRight"/>
      <selection pane="bottomLeft"/>
      <selection pane="bottomRight" activeCell="B25" sqref="B25"/>
    </sheetView>
  </sheetViews>
  <sheetFormatPr baseColWidth="10" defaultColWidth="8.83203125" defaultRowHeight="15" x14ac:dyDescent="0.2"/>
  <cols>
    <col min="1" max="1" width="26" customWidth="1"/>
    <col min="2" max="2" width="18" customWidth="1"/>
    <col min="3" max="3" width="28" customWidth="1"/>
    <col min="4" max="4" width="14" customWidth="1"/>
    <col min="5" max="5" width="20" customWidth="1"/>
    <col min="6" max="6" width="28" customWidth="1"/>
  </cols>
  <sheetData>
    <row r="1" spans="1:6" ht="32" customHeight="1" x14ac:dyDescent="0.2">
      <c r="A1" s="18" t="s">
        <v>214</v>
      </c>
      <c r="B1" s="19"/>
      <c r="C1" s="19"/>
      <c r="D1" s="19"/>
      <c r="E1" s="19"/>
      <c r="F1" s="19"/>
    </row>
    <row r="2" spans="1:6" ht="28" customHeight="1" x14ac:dyDescent="0.2">
      <c r="A2" s="21" t="s">
        <v>33</v>
      </c>
      <c r="B2" s="19"/>
      <c r="C2" s="19"/>
      <c r="D2" s="19"/>
      <c r="E2" s="19"/>
      <c r="F2" s="19"/>
    </row>
    <row r="3" spans="1:6" ht="36" customHeight="1" x14ac:dyDescent="0.2">
      <c r="A3" s="20" t="s">
        <v>215</v>
      </c>
      <c r="B3" s="19"/>
      <c r="C3" s="19"/>
      <c r="D3" s="19"/>
      <c r="E3" s="19"/>
      <c r="F3" s="19"/>
    </row>
    <row r="4" spans="1:6" ht="18" customHeight="1" x14ac:dyDescent="0.2">
      <c r="A4" s="1" t="s">
        <v>46</v>
      </c>
      <c r="B4" s="1" t="s">
        <v>216</v>
      </c>
      <c r="C4" s="1" t="s">
        <v>217</v>
      </c>
      <c r="D4" s="1" t="s">
        <v>45</v>
      </c>
      <c r="E4" s="1" t="s">
        <v>218</v>
      </c>
      <c r="F4" s="1" t="s">
        <v>219</v>
      </c>
    </row>
    <row r="5" spans="1:6" ht="22" customHeight="1" x14ac:dyDescent="0.2">
      <c r="A5" s="2" t="s">
        <v>220</v>
      </c>
      <c r="B5" s="3" t="s">
        <v>221</v>
      </c>
      <c r="C5" s="3" t="s">
        <v>209</v>
      </c>
      <c r="D5" s="3" t="s">
        <v>210</v>
      </c>
      <c r="E5" s="3" t="s">
        <v>222</v>
      </c>
      <c r="F5" s="3" t="s">
        <v>60</v>
      </c>
    </row>
    <row r="6" spans="1:6" ht="18" customHeight="1" x14ac:dyDescent="0.2">
      <c r="A6" s="4"/>
      <c r="B6" s="4"/>
      <c r="C6" s="4"/>
      <c r="D6" s="4"/>
      <c r="E6" s="4"/>
      <c r="F6" s="4"/>
    </row>
    <row r="7" spans="1:6" ht="18" customHeight="1" x14ac:dyDescent="0.2">
      <c r="A7" s="5"/>
      <c r="B7" s="5"/>
      <c r="C7" s="5"/>
      <c r="D7" s="5"/>
      <c r="E7" s="5"/>
      <c r="F7" s="5"/>
    </row>
    <row r="8" spans="1:6" ht="18" customHeight="1" x14ac:dyDescent="0.2">
      <c r="A8" s="4"/>
      <c r="B8" s="4"/>
      <c r="C8" s="4"/>
      <c r="D8" s="4"/>
      <c r="E8" s="4"/>
      <c r="F8" s="4"/>
    </row>
    <row r="9" spans="1:6" ht="18" customHeight="1" x14ac:dyDescent="0.2">
      <c r="A9" s="5"/>
      <c r="B9" s="5"/>
      <c r="C9" s="5"/>
      <c r="D9" s="5"/>
      <c r="E9" s="5"/>
      <c r="F9" s="5"/>
    </row>
    <row r="10" spans="1:6" ht="18" customHeight="1" x14ac:dyDescent="0.2">
      <c r="A10" s="4"/>
      <c r="B10" s="4"/>
      <c r="C10" s="4"/>
      <c r="D10" s="4"/>
      <c r="E10" s="4"/>
      <c r="F10" s="4"/>
    </row>
    <row r="11" spans="1:6" ht="18" customHeight="1" x14ac:dyDescent="0.2">
      <c r="A11" s="5"/>
      <c r="B11" s="5"/>
      <c r="C11" s="5"/>
      <c r="D11" s="5"/>
      <c r="E11" s="5"/>
      <c r="F11" s="5"/>
    </row>
    <row r="12" spans="1:6" ht="18" customHeight="1" x14ac:dyDescent="0.2">
      <c r="A12" s="4"/>
      <c r="B12" s="4"/>
      <c r="C12" s="4"/>
      <c r="D12" s="4"/>
      <c r="E12" s="4"/>
      <c r="F12" s="4"/>
    </row>
    <row r="13" spans="1:6" ht="18" customHeight="1" x14ac:dyDescent="0.2">
      <c r="A13" s="5"/>
      <c r="B13" s="5"/>
      <c r="C13" s="5"/>
      <c r="D13" s="5"/>
      <c r="E13" s="5"/>
      <c r="F13" s="5"/>
    </row>
    <row r="14" spans="1:6" ht="18" customHeight="1" x14ac:dyDescent="0.2">
      <c r="A14" s="4"/>
      <c r="B14" s="4"/>
      <c r="C14" s="4"/>
      <c r="D14" s="4"/>
      <c r="E14" s="4"/>
      <c r="F14" s="4"/>
    </row>
    <row r="15" spans="1:6" ht="18" customHeight="1" x14ac:dyDescent="0.2">
      <c r="A15" s="5"/>
      <c r="B15" s="5"/>
      <c r="C15" s="5"/>
      <c r="D15" s="5"/>
      <c r="E15" s="5"/>
      <c r="F15" s="5"/>
    </row>
    <row r="17" spans="1:1" x14ac:dyDescent="0.2">
      <c r="A17" t="s">
        <v>375</v>
      </c>
    </row>
    <row r="18" spans="1:1" x14ac:dyDescent="0.2">
      <c r="A18" t="s">
        <v>376</v>
      </c>
    </row>
    <row r="19" spans="1:1" x14ac:dyDescent="0.2">
      <c r="A19" t="s">
        <v>377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0"/>
  <sheetViews>
    <sheetView zoomScale="150" workbookViewId="0">
      <pane ySplit="2" topLeftCell="A3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20" customWidth="1"/>
    <col min="2" max="2" width="2" customWidth="1"/>
    <col min="3" max="3" width="20" customWidth="1"/>
    <col min="4" max="4" width="2" customWidth="1"/>
    <col min="5" max="5" width="20" customWidth="1"/>
    <col min="6" max="6" width="2" customWidth="1"/>
    <col min="7" max="7" width="20" customWidth="1"/>
    <col min="8" max="8" width="2" customWidth="1"/>
    <col min="9" max="9" width="20" customWidth="1"/>
    <col min="10" max="10" width="2" customWidth="1"/>
    <col min="11" max="11" width="20" customWidth="1"/>
    <col min="12" max="12" width="2" customWidth="1"/>
    <col min="13" max="13" width="21" customWidth="1"/>
    <col min="14" max="14" width="2" customWidth="1"/>
    <col min="15" max="15" width="21" customWidth="1"/>
    <col min="16" max="16" width="2" customWidth="1"/>
    <col min="17" max="17" width="20" customWidth="1"/>
    <col min="18" max="18" width="2" customWidth="1"/>
    <col min="19" max="19" width="20" customWidth="1"/>
    <col min="20" max="20" width="2" customWidth="1"/>
    <col min="21" max="21" width="20" customWidth="1"/>
    <col min="22" max="22" width="2" customWidth="1"/>
    <col min="23" max="23" width="21" customWidth="1"/>
    <col min="24" max="24" width="2" customWidth="1"/>
    <col min="25" max="25" width="20" customWidth="1"/>
    <col min="26" max="26" width="2" customWidth="1"/>
    <col min="27" max="27" width="21" customWidth="1"/>
    <col min="28" max="28" width="2" customWidth="1"/>
    <col min="29" max="29" width="21" customWidth="1"/>
    <col min="30" max="30" width="2" customWidth="1"/>
    <col min="31" max="31" width="21" customWidth="1"/>
  </cols>
  <sheetData>
    <row r="1" spans="1:31" ht="30" customHeight="1" x14ac:dyDescent="0.2">
      <c r="A1" s="31" t="s">
        <v>223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31" ht="22" customHeight="1" x14ac:dyDescent="0.2">
      <c r="A2" s="6" t="s">
        <v>224</v>
      </c>
      <c r="C2" s="6" t="s">
        <v>225</v>
      </c>
      <c r="E2" s="6" t="s">
        <v>226</v>
      </c>
      <c r="G2" s="6" t="s">
        <v>227</v>
      </c>
      <c r="I2" s="6" t="s">
        <v>228</v>
      </c>
      <c r="K2" s="6" t="s">
        <v>229</v>
      </c>
      <c r="M2" s="6" t="s">
        <v>230</v>
      </c>
      <c r="O2" s="6" t="s">
        <v>231</v>
      </c>
      <c r="Q2" s="6" t="s">
        <v>174</v>
      </c>
      <c r="S2" s="6" t="s">
        <v>232</v>
      </c>
      <c r="U2" s="6" t="s">
        <v>233</v>
      </c>
      <c r="W2" s="6" t="s">
        <v>305</v>
      </c>
      <c r="Y2" s="6" t="s">
        <v>277</v>
      </c>
      <c r="AA2" s="6" t="s">
        <v>304</v>
      </c>
      <c r="AC2" s="6" t="s">
        <v>194</v>
      </c>
      <c r="AE2" s="6" t="s">
        <v>431</v>
      </c>
    </row>
    <row r="3" spans="1:31" x14ac:dyDescent="0.2">
      <c r="A3" s="7" t="s">
        <v>344</v>
      </c>
      <c r="C3" s="7" t="s">
        <v>234</v>
      </c>
      <c r="E3" s="7" t="s">
        <v>235</v>
      </c>
      <c r="G3" s="7" t="s">
        <v>349</v>
      </c>
      <c r="I3" s="7" t="s">
        <v>236</v>
      </c>
      <c r="K3" s="7" t="s">
        <v>237</v>
      </c>
      <c r="M3" s="7" t="s">
        <v>238</v>
      </c>
      <c r="O3" s="7" t="s">
        <v>405</v>
      </c>
      <c r="Q3" s="7" t="s">
        <v>239</v>
      </c>
      <c r="S3" s="7" t="s">
        <v>399</v>
      </c>
      <c r="U3" s="7" t="s">
        <v>234</v>
      </c>
      <c r="W3" s="7" t="s">
        <v>240</v>
      </c>
      <c r="Y3" s="7" t="s">
        <v>278</v>
      </c>
      <c r="AA3" s="7" t="s">
        <v>240</v>
      </c>
      <c r="AC3" s="7" t="s">
        <v>425</v>
      </c>
      <c r="AE3" s="7" t="s">
        <v>432</v>
      </c>
    </row>
    <row r="4" spans="1:31" x14ac:dyDescent="0.2">
      <c r="A4" s="8" t="s">
        <v>345</v>
      </c>
      <c r="C4" s="8" t="s">
        <v>241</v>
      </c>
      <c r="E4" s="8" t="s">
        <v>412</v>
      </c>
      <c r="G4" s="8" t="s">
        <v>350</v>
      </c>
      <c r="I4" s="8" t="s">
        <v>359</v>
      </c>
      <c r="K4" s="8" t="s">
        <v>243</v>
      </c>
      <c r="M4" s="8" t="s">
        <v>378</v>
      </c>
      <c r="O4" s="8" t="s">
        <v>244</v>
      </c>
      <c r="Q4" s="8" t="s">
        <v>245</v>
      </c>
      <c r="S4" s="8" t="s">
        <v>400</v>
      </c>
      <c r="U4" s="8" t="s">
        <v>246</v>
      </c>
      <c r="W4" s="8" t="s">
        <v>247</v>
      </c>
      <c r="Y4" s="8" t="s">
        <v>279</v>
      </c>
      <c r="AA4" s="8" t="s">
        <v>247</v>
      </c>
      <c r="AC4" s="8" t="s">
        <v>426</v>
      </c>
      <c r="AE4" s="8" t="s">
        <v>433</v>
      </c>
    </row>
    <row r="5" spans="1:31" x14ac:dyDescent="0.2">
      <c r="A5" s="7" t="s">
        <v>346</v>
      </c>
      <c r="C5" s="7" t="s">
        <v>407</v>
      </c>
      <c r="E5" s="7" t="s">
        <v>242</v>
      </c>
      <c r="G5" s="7" t="s">
        <v>351</v>
      </c>
      <c r="I5" s="7" t="s">
        <v>270</v>
      </c>
      <c r="K5" s="7" t="s">
        <v>250</v>
      </c>
      <c r="M5" s="7" t="s">
        <v>379</v>
      </c>
      <c r="O5" s="7" t="s">
        <v>280</v>
      </c>
      <c r="Q5" s="7" t="s">
        <v>251</v>
      </c>
      <c r="S5" s="7" t="s">
        <v>401</v>
      </c>
      <c r="U5" s="7" t="s">
        <v>252</v>
      </c>
      <c r="W5" s="7" t="s">
        <v>253</v>
      </c>
      <c r="Y5" s="7" t="s">
        <v>280</v>
      </c>
      <c r="AA5" s="7" t="s">
        <v>253</v>
      </c>
      <c r="AC5" s="7" t="s">
        <v>427</v>
      </c>
      <c r="AE5" s="7" t="s">
        <v>434</v>
      </c>
    </row>
    <row r="6" spans="1:31" x14ac:dyDescent="0.2">
      <c r="A6" s="8" t="s">
        <v>347</v>
      </c>
      <c r="C6" s="8" t="s">
        <v>414</v>
      </c>
      <c r="E6" s="8" t="s">
        <v>248</v>
      </c>
      <c r="G6" s="8" t="s">
        <v>352</v>
      </c>
      <c r="I6" s="8" t="s">
        <v>360</v>
      </c>
      <c r="K6" s="8"/>
      <c r="M6" s="8" t="s">
        <v>380</v>
      </c>
      <c r="O6" t="s">
        <v>406</v>
      </c>
      <c r="S6" s="8" t="s">
        <v>402</v>
      </c>
      <c r="U6" s="8" t="s">
        <v>256</v>
      </c>
      <c r="W6" s="8" t="s">
        <v>257</v>
      </c>
      <c r="AA6" s="8" t="s">
        <v>257</v>
      </c>
      <c r="AC6" s="8" t="s">
        <v>428</v>
      </c>
      <c r="AE6" s="8" t="s">
        <v>435</v>
      </c>
    </row>
    <row r="7" spans="1:31" x14ac:dyDescent="0.2">
      <c r="A7" s="7" t="s">
        <v>348</v>
      </c>
      <c r="C7" s="7" t="s">
        <v>419</v>
      </c>
      <c r="E7" s="7" t="s">
        <v>413</v>
      </c>
      <c r="G7" s="7" t="s">
        <v>353</v>
      </c>
      <c r="I7" s="7" t="s">
        <v>361</v>
      </c>
      <c r="M7" s="7" t="s">
        <v>255</v>
      </c>
      <c r="O7" t="s">
        <v>407</v>
      </c>
      <c r="S7" s="7" t="s">
        <v>403</v>
      </c>
      <c r="U7" s="7" t="s">
        <v>259</v>
      </c>
      <c r="W7" s="7" t="s">
        <v>260</v>
      </c>
      <c r="AA7" s="7" t="s">
        <v>267</v>
      </c>
      <c r="AC7" s="7" t="s">
        <v>429</v>
      </c>
      <c r="AE7" s="7" t="s">
        <v>436</v>
      </c>
    </row>
    <row r="8" spans="1:31" x14ac:dyDescent="0.2">
      <c r="A8" s="8" t="s">
        <v>439</v>
      </c>
      <c r="C8" t="s">
        <v>258</v>
      </c>
      <c r="E8" t="s">
        <v>414</v>
      </c>
      <c r="G8" s="8" t="s">
        <v>354</v>
      </c>
      <c r="I8" s="8" t="s">
        <v>249</v>
      </c>
      <c r="M8" s="8" t="s">
        <v>381</v>
      </c>
      <c r="O8" t="s">
        <v>408</v>
      </c>
      <c r="S8" s="8" t="s">
        <v>404</v>
      </c>
      <c r="W8" s="8" t="s">
        <v>263</v>
      </c>
      <c r="AA8" s="8" t="s">
        <v>264</v>
      </c>
      <c r="AC8" s="8" t="s">
        <v>430</v>
      </c>
      <c r="AE8" s="8" t="s">
        <v>437</v>
      </c>
    </row>
    <row r="9" spans="1:31" x14ac:dyDescent="0.2">
      <c r="A9" s="7"/>
      <c r="C9" t="s">
        <v>420</v>
      </c>
      <c r="E9" t="s">
        <v>415</v>
      </c>
      <c r="G9" s="7" t="s">
        <v>355</v>
      </c>
      <c r="I9" s="7" t="s">
        <v>362</v>
      </c>
      <c r="M9" s="7" t="s">
        <v>382</v>
      </c>
      <c r="O9" t="s">
        <v>409</v>
      </c>
      <c r="S9" s="7" t="s">
        <v>256</v>
      </c>
      <c r="W9" s="7" t="s">
        <v>264</v>
      </c>
      <c r="AA9" s="7" t="s">
        <v>263</v>
      </c>
      <c r="AC9" s="7"/>
      <c r="AE9" s="7" t="s">
        <v>438</v>
      </c>
    </row>
    <row r="10" spans="1:31" x14ac:dyDescent="0.2">
      <c r="A10" s="8"/>
      <c r="C10" t="s">
        <v>421</v>
      </c>
      <c r="E10" t="s">
        <v>416</v>
      </c>
      <c r="G10" s="8" t="s">
        <v>356</v>
      </c>
      <c r="I10" s="8" t="s">
        <v>363</v>
      </c>
      <c r="M10" s="8" t="s">
        <v>383</v>
      </c>
      <c r="O10" t="s">
        <v>410</v>
      </c>
      <c r="W10" s="8" t="s">
        <v>267</v>
      </c>
      <c r="AA10" s="8" t="s">
        <v>260</v>
      </c>
      <c r="AC10" s="8"/>
      <c r="AE10" s="8" t="s">
        <v>261</v>
      </c>
    </row>
    <row r="11" spans="1:31" x14ac:dyDescent="0.2">
      <c r="A11" s="7"/>
      <c r="C11" t="s">
        <v>422</v>
      </c>
      <c r="E11" t="s">
        <v>417</v>
      </c>
      <c r="G11" s="7" t="s">
        <v>357</v>
      </c>
      <c r="I11" s="7" t="s">
        <v>364</v>
      </c>
      <c r="M11" s="7" t="s">
        <v>384</v>
      </c>
      <c r="O11" t="s">
        <v>411</v>
      </c>
      <c r="W11" s="7" t="s">
        <v>269</v>
      </c>
      <c r="AA11" s="7" t="s">
        <v>282</v>
      </c>
      <c r="AC11" s="7"/>
      <c r="AE11" s="7" t="s">
        <v>254</v>
      </c>
    </row>
    <row r="12" spans="1:31" x14ac:dyDescent="0.2">
      <c r="A12" s="8"/>
      <c r="E12" t="s">
        <v>418</v>
      </c>
      <c r="G12" s="8" t="s">
        <v>358</v>
      </c>
      <c r="I12" s="8" t="s">
        <v>265</v>
      </c>
      <c r="M12" s="8" t="s">
        <v>385</v>
      </c>
      <c r="W12" s="8" t="s">
        <v>272</v>
      </c>
      <c r="AA12" s="8" t="s">
        <v>240</v>
      </c>
      <c r="AC12" s="8"/>
      <c r="AE12" s="8"/>
    </row>
    <row r="13" spans="1:31" x14ac:dyDescent="0.2">
      <c r="A13" s="7"/>
      <c r="I13" s="7" t="s">
        <v>365</v>
      </c>
      <c r="M13" s="7" t="s">
        <v>386</v>
      </c>
      <c r="AA13" s="7" t="s">
        <v>247</v>
      </c>
      <c r="AC13" s="7"/>
      <c r="AE13" s="7"/>
    </row>
    <row r="14" spans="1:31" x14ac:dyDescent="0.2">
      <c r="A14" s="8"/>
      <c r="I14" t="s">
        <v>366</v>
      </c>
      <c r="M14" s="8" t="s">
        <v>268</v>
      </c>
      <c r="AA14" s="8" t="s">
        <v>253</v>
      </c>
      <c r="AC14" s="8"/>
      <c r="AE14" s="8"/>
    </row>
    <row r="15" spans="1:31" x14ac:dyDescent="0.2">
      <c r="A15" s="7"/>
      <c r="I15" t="s">
        <v>367</v>
      </c>
      <c r="M15" s="7" t="s">
        <v>387</v>
      </c>
      <c r="AA15" s="7" t="s">
        <v>257</v>
      </c>
      <c r="AC15" s="7"/>
      <c r="AE15" s="7"/>
    </row>
    <row r="16" spans="1:31" x14ac:dyDescent="0.2">
      <c r="I16" t="s">
        <v>368</v>
      </c>
      <c r="M16" s="8" t="s">
        <v>388</v>
      </c>
      <c r="AA16" s="8" t="s">
        <v>267</v>
      </c>
      <c r="AC16" s="8"/>
      <c r="AE16" s="8"/>
    </row>
    <row r="17" spans="9:31" x14ac:dyDescent="0.2">
      <c r="I17" t="s">
        <v>369</v>
      </c>
      <c r="M17" s="7" t="s">
        <v>262</v>
      </c>
      <c r="AA17" s="7" t="s">
        <v>264</v>
      </c>
      <c r="AC17" s="7"/>
      <c r="AE17" s="7"/>
    </row>
    <row r="18" spans="9:31" x14ac:dyDescent="0.2">
      <c r="I18" t="s">
        <v>370</v>
      </c>
      <c r="M18" s="8" t="s">
        <v>271</v>
      </c>
      <c r="AA18" s="8" t="s">
        <v>263</v>
      </c>
      <c r="AC18" s="8"/>
      <c r="AE18" s="8"/>
    </row>
    <row r="19" spans="9:31" x14ac:dyDescent="0.2">
      <c r="I19" t="s">
        <v>371</v>
      </c>
      <c r="M19" s="7" t="s">
        <v>389</v>
      </c>
      <c r="AA19" s="7" t="s">
        <v>260</v>
      </c>
      <c r="AC19" s="7"/>
      <c r="AE19" s="7"/>
    </row>
    <row r="20" spans="9:31" x14ac:dyDescent="0.2">
      <c r="I20" t="s">
        <v>372</v>
      </c>
      <c r="M20" s="8" t="s">
        <v>273</v>
      </c>
      <c r="AA20" s="8" t="s">
        <v>283</v>
      </c>
      <c r="AC20" s="8"/>
      <c r="AE20" s="8"/>
    </row>
    <row r="21" spans="9:31" x14ac:dyDescent="0.2">
      <c r="I21" t="s">
        <v>373</v>
      </c>
      <c r="M21" s="7" t="s">
        <v>390</v>
      </c>
      <c r="AA21" s="7" t="s">
        <v>284</v>
      </c>
      <c r="AC21" s="7"/>
      <c r="AE21" s="7"/>
    </row>
    <row r="22" spans="9:31" x14ac:dyDescent="0.2">
      <c r="I22" t="s">
        <v>374</v>
      </c>
      <c r="M22" s="8" t="s">
        <v>266</v>
      </c>
      <c r="AA22" s="8" t="s">
        <v>285</v>
      </c>
      <c r="AC22" s="8"/>
      <c r="AE22" s="8"/>
    </row>
    <row r="23" spans="9:31" x14ac:dyDescent="0.2">
      <c r="M23" t="s">
        <v>391</v>
      </c>
      <c r="AA23" s="7" t="s">
        <v>286</v>
      </c>
      <c r="AC23" s="7"/>
      <c r="AE23" s="7"/>
    </row>
    <row r="24" spans="9:31" x14ac:dyDescent="0.2">
      <c r="M24" t="s">
        <v>392</v>
      </c>
      <c r="AA24" s="8" t="s">
        <v>287</v>
      </c>
      <c r="AC24" s="8"/>
      <c r="AE24" s="8"/>
    </row>
    <row r="25" spans="9:31" x14ac:dyDescent="0.2">
      <c r="M25" t="s">
        <v>393</v>
      </c>
      <c r="AA25" s="7" t="s">
        <v>288</v>
      </c>
      <c r="AC25" s="7"/>
      <c r="AE25" s="7"/>
    </row>
    <row r="26" spans="9:31" x14ac:dyDescent="0.2">
      <c r="M26" t="s">
        <v>394</v>
      </c>
      <c r="AA26" s="8" t="s">
        <v>289</v>
      </c>
      <c r="AC26" s="8"/>
      <c r="AE26" s="8"/>
    </row>
    <row r="27" spans="9:31" x14ac:dyDescent="0.2">
      <c r="M27" t="s">
        <v>395</v>
      </c>
      <c r="AA27" s="7" t="s">
        <v>290</v>
      </c>
      <c r="AC27" s="7"/>
      <c r="AE27" s="7"/>
    </row>
    <row r="28" spans="9:31" x14ac:dyDescent="0.2">
      <c r="M28" t="s">
        <v>396</v>
      </c>
      <c r="AA28" s="8" t="s">
        <v>291</v>
      </c>
      <c r="AC28" s="8"/>
      <c r="AE28" s="8"/>
    </row>
    <row r="29" spans="9:31" x14ac:dyDescent="0.2">
      <c r="M29" t="s">
        <v>274</v>
      </c>
      <c r="AA29" s="7" t="s">
        <v>292</v>
      </c>
      <c r="AC29" s="7"/>
      <c r="AE29" s="7"/>
    </row>
    <row r="30" spans="9:31" x14ac:dyDescent="0.2">
      <c r="M30" t="s">
        <v>397</v>
      </c>
      <c r="AA30" s="8" t="s">
        <v>293</v>
      </c>
      <c r="AC30" s="8"/>
      <c r="AE30" s="8"/>
    </row>
    <row r="31" spans="9:31" x14ac:dyDescent="0.2">
      <c r="M31" t="s">
        <v>398</v>
      </c>
      <c r="AA31" s="7" t="s">
        <v>294</v>
      </c>
      <c r="AC31" s="7"/>
      <c r="AE31" s="7"/>
    </row>
    <row r="32" spans="9:31" x14ac:dyDescent="0.2">
      <c r="AA32" s="8" t="s">
        <v>295</v>
      </c>
      <c r="AC32" s="8"/>
      <c r="AE32" s="8"/>
    </row>
    <row r="33" spans="27:31" x14ac:dyDescent="0.2">
      <c r="AA33" s="7" t="s">
        <v>296</v>
      </c>
      <c r="AC33" s="7"/>
      <c r="AE33" s="7"/>
    </row>
    <row r="34" spans="27:31" x14ac:dyDescent="0.2">
      <c r="AA34" s="8" t="s">
        <v>297</v>
      </c>
      <c r="AC34" s="8"/>
      <c r="AE34" s="8"/>
    </row>
    <row r="35" spans="27:31" x14ac:dyDescent="0.2">
      <c r="AA35" s="7" t="s">
        <v>298</v>
      </c>
      <c r="AC35" s="7"/>
      <c r="AE35" s="7"/>
    </row>
    <row r="36" spans="27:31" x14ac:dyDescent="0.2">
      <c r="AA36" s="8" t="s">
        <v>299</v>
      </c>
      <c r="AC36" s="8"/>
      <c r="AE36" s="8"/>
    </row>
    <row r="37" spans="27:31" x14ac:dyDescent="0.2">
      <c r="AA37" s="7" t="s">
        <v>300</v>
      </c>
      <c r="AC37" s="7"/>
      <c r="AE37" s="7"/>
    </row>
    <row r="38" spans="27:31" x14ac:dyDescent="0.2">
      <c r="AA38" s="8" t="s">
        <v>301</v>
      </c>
      <c r="AC38" s="8"/>
      <c r="AE38" s="8"/>
    </row>
    <row r="39" spans="27:31" x14ac:dyDescent="0.2">
      <c r="AA39" s="7" t="s">
        <v>302</v>
      </c>
      <c r="AC39" s="7"/>
      <c r="AE39" s="7"/>
    </row>
    <row r="40" spans="27:31" x14ac:dyDescent="0.2">
      <c r="AA40" s="8" t="s">
        <v>303</v>
      </c>
      <c r="AC40" s="8"/>
      <c r="AE40" s="8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 FIRST</vt:lpstr>
      <vt:lpstr>1. Vehicles</vt:lpstr>
      <vt:lpstr>2. Employees</vt:lpstr>
      <vt:lpstr>3. Vehicle Documents</vt:lpstr>
      <vt:lpstr>4. Assignments</vt:lpstr>
      <vt:lpstr>5. Fines</vt:lpstr>
      <vt:lpstr>6. Maintenance</vt:lpstr>
      <vt:lpstr>7. Scheduled Services</vt:lpstr>
      <vt:lpstr>8. Tyres</vt:lpstr>
      <vt:lpstr>9. Garages</vt:lpstr>
      <vt:lpstr>10. Fuel Stations</vt:lpstr>
      <vt:lpstr>11. Master Lists (Ref)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Amjadh CK</cp:lastModifiedBy>
  <dcterms:created xsi:type="dcterms:W3CDTF">2026-03-10T06:12:22Z</dcterms:created>
  <dcterms:modified xsi:type="dcterms:W3CDTF">2026-03-11T06:50:12Z</dcterms:modified>
</cp:coreProperties>
</file>